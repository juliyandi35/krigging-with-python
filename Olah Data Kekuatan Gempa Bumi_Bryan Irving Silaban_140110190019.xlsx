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Bryan Irving\OneDrive\Desktop\SKRIPSI\seminar\"/>
    </mc:Choice>
  </mc:AlternateContent>
  <xr:revisionPtr revIDLastSave="0" documentId="13_ncr:1_{C3A67382-C0C1-4151-B254-6075BA11F746}" xr6:coauthVersionLast="47" xr6:coauthVersionMax="47" xr10:uidLastSave="{00000000-0000-0000-0000-000000000000}"/>
  <bookViews>
    <workbookView xWindow="1590" yWindow="1140" windowWidth="17850" windowHeight="9840" xr2:uid="{00000000-000D-0000-FFFF-FFFF00000000}"/>
  </bookViews>
  <sheets>
    <sheet name="Olah Semivariogram" sheetId="1" r:id="rId1"/>
    <sheet name="Kriging" sheetId="2" r:id="rId2"/>
  </sheets>
  <definedNames>
    <definedName name="_xlnm.Database">'Olah Semivariogram'!$B$3:$G$143</definedName>
  </definedNames>
  <calcPr calcId="181029"/>
</workbook>
</file>

<file path=xl/calcChain.xml><?xml version="1.0" encoding="utf-8"?>
<calcChain xmlns="http://schemas.openxmlformats.org/spreadsheetml/2006/main">
  <c r="BE42" i="2" l="1"/>
  <c r="BE43" i="2"/>
  <c r="BE44" i="2"/>
  <c r="BE45" i="2"/>
  <c r="BE46" i="2"/>
  <c r="BE47" i="2"/>
  <c r="BE48" i="2"/>
  <c r="BE49" i="2"/>
  <c r="BE50" i="2"/>
  <c r="BE41" i="2"/>
  <c r="AS41" i="2"/>
  <c r="AU41" i="2"/>
  <c r="AV41" i="2"/>
  <c r="AW41" i="2"/>
  <c r="AX41" i="2"/>
  <c r="AY41" i="2"/>
  <c r="AZ41" i="2"/>
  <c r="BA41" i="2"/>
  <c r="BB41" i="2"/>
  <c r="AU42" i="2"/>
  <c r="AV42" i="2"/>
  <c r="AW42" i="2"/>
  <c r="AX42" i="2"/>
  <c r="AY42" i="2"/>
  <c r="AZ42" i="2"/>
  <c r="BA42" i="2"/>
  <c r="BB42" i="2"/>
  <c r="AU43" i="2"/>
  <c r="AV43" i="2"/>
  <c r="AW43" i="2"/>
  <c r="AX43" i="2"/>
  <c r="AY43" i="2"/>
  <c r="AZ43" i="2"/>
  <c r="BA43" i="2"/>
  <c r="BB43" i="2"/>
  <c r="AU44" i="2"/>
  <c r="AV44" i="2"/>
  <c r="AW44" i="2"/>
  <c r="AX44" i="2"/>
  <c r="AY44" i="2"/>
  <c r="AZ44" i="2"/>
  <c r="BA44" i="2"/>
  <c r="BB44" i="2"/>
  <c r="AU45" i="2"/>
  <c r="AV45" i="2"/>
  <c r="AW45" i="2"/>
  <c r="AX45" i="2"/>
  <c r="AY45" i="2"/>
  <c r="AZ45" i="2"/>
  <c r="BA45" i="2"/>
  <c r="BB45" i="2"/>
  <c r="AU46" i="2"/>
  <c r="AV46" i="2"/>
  <c r="AW46" i="2"/>
  <c r="AX46" i="2"/>
  <c r="AY46" i="2"/>
  <c r="AZ46" i="2"/>
  <c r="BA46" i="2"/>
  <c r="BB46" i="2"/>
  <c r="AU47" i="2"/>
  <c r="AV47" i="2"/>
  <c r="AW47" i="2"/>
  <c r="AX47" i="2"/>
  <c r="AY47" i="2"/>
  <c r="AZ47" i="2"/>
  <c r="BA47" i="2"/>
  <c r="BB47" i="2"/>
  <c r="AU48" i="2"/>
  <c r="AV48" i="2"/>
  <c r="AW48" i="2"/>
  <c r="AX48" i="2"/>
  <c r="AY48" i="2"/>
  <c r="AZ48" i="2"/>
  <c r="BA48" i="2"/>
  <c r="BB48" i="2"/>
  <c r="AU49" i="2"/>
  <c r="AV49" i="2"/>
  <c r="AW49" i="2"/>
  <c r="AX49" i="2"/>
  <c r="AY49" i="2"/>
  <c r="AZ49" i="2"/>
  <c r="BA49" i="2"/>
  <c r="BB49" i="2"/>
  <c r="AU50" i="2"/>
  <c r="AV50" i="2"/>
  <c r="AW50" i="2"/>
  <c r="AX50" i="2"/>
  <c r="AY50" i="2"/>
  <c r="AZ50" i="2"/>
  <c r="BA50" i="2"/>
  <c r="BB50" i="2"/>
  <c r="AT42" i="2"/>
  <c r="AT43" i="2"/>
  <c r="AT44" i="2"/>
  <c r="AT45" i="2"/>
  <c r="AT46" i="2"/>
  <c r="AT47" i="2"/>
  <c r="AT48" i="2"/>
  <c r="AT49" i="2"/>
  <c r="AT50" i="2"/>
  <c r="AT41" i="2"/>
  <c r="AS42" i="2"/>
  <c r="AS43" i="2"/>
  <c r="AS44" i="2"/>
  <c r="AS45" i="2"/>
  <c r="AS46" i="2"/>
  <c r="AS47" i="2"/>
  <c r="AS48" i="2"/>
  <c r="AS49" i="2"/>
  <c r="AS50" i="2"/>
  <c r="AL25" i="2"/>
  <c r="AS24" i="2"/>
  <c r="AM26" i="2"/>
  <c r="AM27" i="2"/>
  <c r="AM28" i="2"/>
  <c r="AM29" i="2"/>
  <c r="AM32" i="2" s="1"/>
  <c r="AM30" i="2"/>
  <c r="AM25" i="2"/>
  <c r="AL26" i="2"/>
  <c r="AL27" i="2"/>
  <c r="AL28" i="2"/>
  <c r="AL29" i="2"/>
  <c r="AL32" i="2" s="1"/>
  <c r="AL30" i="2"/>
  <c r="AK30" i="2"/>
  <c r="AK26" i="2"/>
  <c r="AK27" i="2"/>
  <c r="AK28" i="2"/>
  <c r="AK29" i="2"/>
  <c r="AK32" i="2" s="1"/>
  <c r="AK25" i="2"/>
  <c r="AJ32" i="2"/>
  <c r="AY76" i="1"/>
  <c r="AZ76" i="1"/>
  <c r="AX76" i="1"/>
  <c r="AX75" i="1"/>
  <c r="AY75" i="1"/>
  <c r="AZ75" i="1"/>
  <c r="AZ70" i="1"/>
  <c r="AZ71" i="1"/>
  <c r="AZ72" i="1"/>
  <c r="AZ73" i="1"/>
  <c r="AZ74" i="1"/>
  <c r="AZ69" i="1"/>
  <c r="AY69" i="1"/>
  <c r="AY70" i="1"/>
  <c r="AY71" i="1"/>
  <c r="AY72" i="1"/>
  <c r="AY73" i="1"/>
  <c r="AY74" i="1"/>
  <c r="AX69" i="1"/>
  <c r="AX70" i="1"/>
  <c r="AX71" i="1"/>
  <c r="AX72" i="1"/>
  <c r="AX73" i="1"/>
  <c r="AX74" i="1"/>
  <c r="AS4" i="1"/>
  <c r="AV75" i="1"/>
  <c r="AW75" i="1"/>
  <c r="AU75" i="1"/>
  <c r="AW70" i="1"/>
  <c r="AW71" i="1"/>
  <c r="AW72" i="1"/>
  <c r="AW73" i="1"/>
  <c r="AW74" i="1"/>
  <c r="AW69" i="1"/>
  <c r="AV69" i="1"/>
  <c r="AV70" i="1"/>
  <c r="AV71" i="1"/>
  <c r="AV72" i="1"/>
  <c r="AV73" i="1"/>
  <c r="AV74" i="1"/>
  <c r="AU69" i="1"/>
  <c r="AU70" i="1"/>
  <c r="AU71" i="1"/>
  <c r="AU72" i="1"/>
  <c r="AU73" i="1"/>
  <c r="AU74" i="1"/>
  <c r="AR76" i="1"/>
  <c r="AQ76" i="1"/>
  <c r="AP76" i="1"/>
  <c r="AR69" i="1"/>
  <c r="AP74" i="1"/>
  <c r="AR70" i="1"/>
  <c r="AR71" i="1"/>
  <c r="AR72" i="1"/>
  <c r="AR73" i="1"/>
  <c r="AR74" i="1"/>
  <c r="AQ70" i="1"/>
  <c r="AQ71" i="1"/>
  <c r="AQ72" i="1"/>
  <c r="AQ73" i="1"/>
  <c r="AQ74" i="1"/>
  <c r="AQ69" i="1"/>
  <c r="AP70" i="1"/>
  <c r="AP71" i="1"/>
  <c r="AP72" i="1"/>
  <c r="AP73" i="1"/>
  <c r="AP69" i="1"/>
  <c r="AR4" i="1"/>
  <c r="AP4" i="1"/>
  <c r="AQ4" i="1"/>
  <c r="AO76" i="1"/>
  <c r="AJ4" i="1"/>
  <c r="AE3" i="1"/>
  <c r="AE20" i="1"/>
  <c r="AE27" i="1"/>
  <c r="AE55" i="1"/>
  <c r="AE53" i="1"/>
  <c r="AE37" i="1"/>
  <c r="BP4" i="2"/>
  <c r="BK13" i="2"/>
  <c r="BJ41" i="2"/>
  <c r="BK44" i="2"/>
  <c r="BK45" i="2"/>
  <c r="BK48" i="2"/>
  <c r="BK49" i="2"/>
  <c r="BK50" i="2"/>
  <c r="BK25" i="2"/>
  <c r="BK26" i="2"/>
  <c r="BK27" i="2"/>
  <c r="BK29" i="2"/>
  <c r="BK30" i="2"/>
  <c r="BK31" i="2"/>
  <c r="BK33" i="2"/>
  <c r="BK24" i="2"/>
  <c r="BK3" i="2"/>
  <c r="BK4" i="2"/>
  <c r="BK5" i="2"/>
  <c r="BK6" i="2"/>
  <c r="BK8" i="2"/>
  <c r="BK9" i="2"/>
  <c r="BK10" i="2"/>
  <c r="BK12" i="2"/>
  <c r="BJ3" i="2"/>
  <c r="BJ42" i="2"/>
  <c r="BJ43" i="2"/>
  <c r="BJ44" i="2"/>
  <c r="BJ45" i="2"/>
  <c r="BJ46" i="2"/>
  <c r="BJ47" i="2"/>
  <c r="BJ48" i="2"/>
  <c r="BJ49" i="2"/>
  <c r="BJ50" i="2"/>
  <c r="BJ27" i="2"/>
  <c r="BI51" i="2"/>
  <c r="BN4" i="2"/>
  <c r="W5" i="1"/>
  <c r="W6" i="1"/>
  <c r="W7" i="1"/>
  <c r="W8" i="1"/>
  <c r="W9" i="1"/>
  <c r="W10" i="1"/>
  <c r="W11" i="1"/>
  <c r="W12" i="1"/>
  <c r="W13" i="1"/>
  <c r="W4" i="1"/>
  <c r="V5" i="1"/>
  <c r="V6" i="1"/>
  <c r="V7" i="1"/>
  <c r="V8" i="1"/>
  <c r="V9" i="1"/>
  <c r="V10" i="1"/>
  <c r="V11" i="1"/>
  <c r="V12" i="1"/>
  <c r="V13" i="1"/>
  <c r="V4" i="1"/>
  <c r="U5" i="1"/>
  <c r="U6" i="1"/>
  <c r="U7" i="1"/>
  <c r="U8" i="1"/>
  <c r="U9" i="1"/>
  <c r="U10" i="1"/>
  <c r="U11" i="1"/>
  <c r="U12" i="1"/>
  <c r="U13" i="1"/>
  <c r="U4" i="1"/>
  <c r="T5" i="1"/>
  <c r="T6" i="1"/>
  <c r="T7" i="1"/>
  <c r="T8" i="1"/>
  <c r="T9" i="1"/>
  <c r="T10" i="1"/>
  <c r="T11" i="1"/>
  <c r="T12" i="1"/>
  <c r="T13" i="1"/>
  <c r="T4" i="1"/>
  <c r="S5" i="1"/>
  <c r="S6" i="1"/>
  <c r="S7" i="1"/>
  <c r="S8" i="1"/>
  <c r="S9" i="1"/>
  <c r="S10" i="1"/>
  <c r="S11" i="1"/>
  <c r="S12" i="1"/>
  <c r="S13" i="1"/>
  <c r="S4" i="1"/>
  <c r="R5" i="1"/>
  <c r="R6" i="1"/>
  <c r="R7" i="1"/>
  <c r="R8" i="1"/>
  <c r="R9" i="1"/>
  <c r="R10" i="1"/>
  <c r="R11" i="1"/>
  <c r="R12" i="1"/>
  <c r="R13" i="1"/>
  <c r="R4" i="1"/>
  <c r="Q5" i="1"/>
  <c r="Q6" i="1"/>
  <c r="Q7" i="1"/>
  <c r="Q8" i="1"/>
  <c r="Q9" i="1"/>
  <c r="Q10" i="1"/>
  <c r="Q11" i="1"/>
  <c r="Q12" i="1"/>
  <c r="Q13" i="1"/>
  <c r="Q4" i="1"/>
  <c r="P5" i="1"/>
  <c r="P6" i="1"/>
  <c r="P7" i="1"/>
  <c r="P8" i="1"/>
  <c r="P9" i="1"/>
  <c r="P10" i="1"/>
  <c r="P11" i="1"/>
  <c r="P12" i="1"/>
  <c r="P13" i="1"/>
  <c r="P4" i="1"/>
  <c r="O5" i="1"/>
  <c r="O6" i="1"/>
  <c r="O7" i="1"/>
  <c r="O8" i="1"/>
  <c r="O9" i="1"/>
  <c r="O10" i="1"/>
  <c r="O11" i="1"/>
  <c r="O12" i="1"/>
  <c r="O13" i="1"/>
  <c r="O4" i="1"/>
  <c r="N5" i="1"/>
  <c r="N6" i="1"/>
  <c r="N7" i="1"/>
  <c r="N8" i="1"/>
  <c r="N9" i="1"/>
  <c r="N10" i="1"/>
  <c r="N11" i="1"/>
  <c r="N12" i="1"/>
  <c r="N13" i="1"/>
  <c r="N4" i="1"/>
  <c r="N15" i="2"/>
  <c r="BK42" i="2" s="1"/>
  <c r="U13" i="2"/>
  <c r="T13" i="2"/>
  <c r="BB13" i="2" s="1"/>
  <c r="S13" i="2"/>
  <c r="R13" i="2"/>
  <c r="Q13" i="2"/>
  <c r="P13" i="2"/>
  <c r="O13" i="2"/>
  <c r="N13" i="2"/>
  <c r="M13" i="2"/>
  <c r="L13" i="2"/>
  <c r="K13" i="2"/>
  <c r="U12" i="2"/>
  <c r="T12" i="2"/>
  <c r="S12" i="2"/>
  <c r="R12" i="2"/>
  <c r="Q12" i="2"/>
  <c r="P12" i="2"/>
  <c r="O12" i="2"/>
  <c r="N12" i="2"/>
  <c r="M12" i="2"/>
  <c r="L12" i="2"/>
  <c r="K12" i="2"/>
  <c r="U11" i="2"/>
  <c r="T11" i="2"/>
  <c r="S11" i="2"/>
  <c r="R11" i="2"/>
  <c r="Q11" i="2"/>
  <c r="P11" i="2"/>
  <c r="O11" i="2"/>
  <c r="N11" i="2"/>
  <c r="M11" i="2"/>
  <c r="L11" i="2"/>
  <c r="K11" i="2"/>
  <c r="U10" i="2"/>
  <c r="T10" i="2"/>
  <c r="S10" i="2"/>
  <c r="R10" i="2"/>
  <c r="Q10" i="2"/>
  <c r="P10" i="2"/>
  <c r="O10" i="2"/>
  <c r="N10" i="2"/>
  <c r="M10" i="2"/>
  <c r="L10" i="2"/>
  <c r="K10" i="2"/>
  <c r="U9" i="2"/>
  <c r="T9" i="2"/>
  <c r="S9" i="2"/>
  <c r="R9" i="2"/>
  <c r="Q9" i="2"/>
  <c r="P9" i="2"/>
  <c r="O9" i="2"/>
  <c r="N9" i="2"/>
  <c r="M9" i="2"/>
  <c r="L9" i="2"/>
  <c r="K9" i="2"/>
  <c r="U8" i="2"/>
  <c r="T8" i="2"/>
  <c r="S8" i="2"/>
  <c r="R8" i="2"/>
  <c r="Q8" i="2"/>
  <c r="P8" i="2"/>
  <c r="O8" i="2"/>
  <c r="N8" i="2"/>
  <c r="M8" i="2"/>
  <c r="L8" i="2"/>
  <c r="K8" i="2"/>
  <c r="U7" i="2"/>
  <c r="T7" i="2"/>
  <c r="S7" i="2"/>
  <c r="R7" i="2"/>
  <c r="Q7" i="2"/>
  <c r="P7" i="2"/>
  <c r="O7" i="2"/>
  <c r="N7" i="2"/>
  <c r="M7" i="2"/>
  <c r="L7" i="2"/>
  <c r="K7" i="2"/>
  <c r="U6" i="2"/>
  <c r="T6" i="2"/>
  <c r="S6" i="2"/>
  <c r="R6" i="2"/>
  <c r="Q6" i="2"/>
  <c r="P6" i="2"/>
  <c r="O6" i="2"/>
  <c r="N6" i="2"/>
  <c r="M6" i="2"/>
  <c r="L6" i="2"/>
  <c r="K6" i="2"/>
  <c r="U5" i="2"/>
  <c r="T5" i="2"/>
  <c r="S5" i="2"/>
  <c r="R5" i="2"/>
  <c r="Q5" i="2"/>
  <c r="P5" i="2"/>
  <c r="O5" i="2"/>
  <c r="N5" i="2"/>
  <c r="M5" i="2"/>
  <c r="L5" i="2"/>
  <c r="K5" i="2"/>
  <c r="U4" i="2"/>
  <c r="T4" i="2"/>
  <c r="S4" i="2"/>
  <c r="R4" i="2"/>
  <c r="Q4" i="2"/>
  <c r="P4" i="2"/>
  <c r="O4" i="2"/>
  <c r="N4" i="2"/>
  <c r="M4" i="2"/>
  <c r="L4" i="2"/>
  <c r="K4" i="2"/>
  <c r="Z19" i="2"/>
  <c r="AA19" i="2" s="1"/>
  <c r="Z16" i="2"/>
  <c r="AA16" i="2" s="1"/>
  <c r="Z15" i="2"/>
  <c r="Z12" i="2"/>
  <c r="AA12" i="2" s="1"/>
  <c r="Z11" i="2"/>
  <c r="AA11" i="2" s="1"/>
  <c r="Z4" i="2"/>
  <c r="AA4" i="2"/>
  <c r="Z5" i="2"/>
  <c r="AA5" i="2" s="1"/>
  <c r="AF5" i="2"/>
  <c r="Z6" i="2"/>
  <c r="AA6" i="2"/>
  <c r="AD6" i="2"/>
  <c r="AF6" i="2"/>
  <c r="Z7" i="2"/>
  <c r="AA7" i="2"/>
  <c r="AD7" i="2"/>
  <c r="AF7" i="2"/>
  <c r="Z8" i="2"/>
  <c r="AA8" i="2" s="1"/>
  <c r="AD8" i="2"/>
  <c r="AF8" i="2"/>
  <c r="AK20" i="2" s="1"/>
  <c r="Z9" i="2"/>
  <c r="AA9" i="2" s="1"/>
  <c r="AD9" i="2"/>
  <c r="AF9" i="2"/>
  <c r="Z10" i="2"/>
  <c r="AA10" i="2" s="1"/>
  <c r="AD10" i="2"/>
  <c r="AF10" i="2"/>
  <c r="AD11" i="2"/>
  <c r="AF11" i="2"/>
  <c r="AD12" i="2"/>
  <c r="AF12" i="2"/>
  <c r="Z13" i="2"/>
  <c r="AA13" i="2" s="1"/>
  <c r="AD13" i="2"/>
  <c r="AF13" i="2"/>
  <c r="Z14" i="2"/>
  <c r="AA14" i="2" s="1"/>
  <c r="BI13" i="2"/>
  <c r="BJ4" i="2"/>
  <c r="BJ5" i="2"/>
  <c r="BJ6" i="2"/>
  <c r="BJ7" i="2"/>
  <c r="BJ8" i="2"/>
  <c r="BJ9" i="2"/>
  <c r="BJ10" i="2"/>
  <c r="BJ11" i="2"/>
  <c r="BJ12" i="2"/>
  <c r="BJ25" i="2"/>
  <c r="BJ26" i="2"/>
  <c r="BJ28" i="2"/>
  <c r="BJ29" i="2"/>
  <c r="BJ30" i="2"/>
  <c r="BJ31" i="2"/>
  <c r="BJ32" i="2"/>
  <c r="BJ33" i="2"/>
  <c r="BJ24" i="2"/>
  <c r="BI34" i="2"/>
  <c r="AL20" i="2"/>
  <c r="Z58" i="2"/>
  <c r="AA58" i="2" s="1"/>
  <c r="Z57" i="2"/>
  <c r="AA57" i="2" s="1"/>
  <c r="Z56" i="2"/>
  <c r="AA56" i="2" s="1"/>
  <c r="Z55" i="2"/>
  <c r="AA55" i="2" s="1"/>
  <c r="Z54" i="2"/>
  <c r="AA54" i="2" s="1"/>
  <c r="Z53" i="2"/>
  <c r="AA53" i="2" s="1"/>
  <c r="Z52" i="2"/>
  <c r="AA52" i="2" s="1"/>
  <c r="Z51" i="2"/>
  <c r="AA51" i="2" s="1"/>
  <c r="Z50" i="2"/>
  <c r="AA50" i="2" s="1"/>
  <c r="Z49" i="2"/>
  <c r="AA49" i="2" s="1"/>
  <c r="Z48" i="2"/>
  <c r="AA48" i="2" s="1"/>
  <c r="Z47" i="2"/>
  <c r="AA47" i="2" s="1"/>
  <c r="Z46" i="2"/>
  <c r="AA46" i="2" s="1"/>
  <c r="Z45" i="2"/>
  <c r="AA45" i="2" s="1"/>
  <c r="Z44" i="2"/>
  <c r="AA44" i="2" s="1"/>
  <c r="Z43" i="2"/>
  <c r="AA43" i="2" s="1"/>
  <c r="Z42" i="2"/>
  <c r="AA42" i="2" s="1"/>
  <c r="Z41" i="2"/>
  <c r="AA41" i="2" s="1"/>
  <c r="Z40" i="2"/>
  <c r="AA40" i="2" s="1"/>
  <c r="Z39" i="2"/>
  <c r="AA39" i="2" s="1"/>
  <c r="Z38" i="2"/>
  <c r="AA38" i="2" s="1"/>
  <c r="Z37" i="2"/>
  <c r="AA37" i="2" s="1"/>
  <c r="Z36" i="2"/>
  <c r="AA36" i="2" s="1"/>
  <c r="Z35" i="2"/>
  <c r="AA35" i="2" s="1"/>
  <c r="Z34" i="2"/>
  <c r="AA34" i="2" s="1"/>
  <c r="Z33" i="2"/>
  <c r="AA33" i="2" s="1"/>
  <c r="Z32" i="2"/>
  <c r="AA32" i="2" s="1"/>
  <c r="Z31" i="2"/>
  <c r="AA31" i="2" s="1"/>
  <c r="Z30" i="2"/>
  <c r="AA30" i="2" s="1"/>
  <c r="Z29" i="2"/>
  <c r="AA29" i="2" s="1"/>
  <c r="Z28" i="2"/>
  <c r="AA28" i="2" s="1"/>
  <c r="Z27" i="2"/>
  <c r="AA27" i="2" s="1"/>
  <c r="Z26" i="2"/>
  <c r="AA26" i="2" s="1"/>
  <c r="Z25" i="2"/>
  <c r="AA25" i="2" s="1"/>
  <c r="Z24" i="2"/>
  <c r="AA24" i="2" s="1"/>
  <c r="Z23" i="2"/>
  <c r="AA23" i="2" s="1"/>
  <c r="Z22" i="2"/>
  <c r="AA22" i="2" s="1"/>
  <c r="Z21" i="2"/>
  <c r="AA21" i="2" s="1"/>
  <c r="Z20" i="2"/>
  <c r="AA20" i="2" s="1"/>
  <c r="Z18" i="2"/>
  <c r="AA18" i="2" s="1"/>
  <c r="Z17" i="2"/>
  <c r="AA17" i="2" s="1"/>
  <c r="AC24" i="1"/>
  <c r="AD24" i="1" s="1"/>
  <c r="AI12" i="1"/>
  <c r="AI11" i="1"/>
  <c r="AI10" i="1"/>
  <c r="AI9" i="1"/>
  <c r="AI8" i="1"/>
  <c r="AI7" i="1"/>
  <c r="AI4" i="1"/>
  <c r="AI6" i="1"/>
  <c r="AI5" i="1"/>
  <c r="AC49" i="1"/>
  <c r="AD49" i="1" s="1"/>
  <c r="AC57" i="1"/>
  <c r="AD57" i="1" s="1"/>
  <c r="AC55" i="1"/>
  <c r="AD55" i="1" s="1"/>
  <c r="AC56" i="1"/>
  <c r="AD56" i="1" s="1"/>
  <c r="AC40" i="1"/>
  <c r="AD40" i="1" s="1"/>
  <c r="AC37" i="1"/>
  <c r="AD37" i="1" s="1"/>
  <c r="AC21" i="1"/>
  <c r="AD21" i="1" s="1"/>
  <c r="AC17" i="1"/>
  <c r="AD17" i="1" s="1"/>
  <c r="AC15" i="1"/>
  <c r="AD15" i="1" s="1"/>
  <c r="AC5" i="1"/>
  <c r="AD5" i="1" s="1"/>
  <c r="AI3" i="1"/>
  <c r="AC18" i="1"/>
  <c r="AD18" i="1" s="1"/>
  <c r="AC9" i="1"/>
  <c r="AD9" i="1" s="1"/>
  <c r="AC19" i="1"/>
  <c r="AD19" i="1" s="1"/>
  <c r="AC47" i="1"/>
  <c r="AD47" i="1" s="1"/>
  <c r="AC53" i="1"/>
  <c r="AD53" i="1" s="1"/>
  <c r="AC43" i="1"/>
  <c r="AD43" i="1" s="1"/>
  <c r="AC4" i="1"/>
  <c r="AD4" i="1" s="1"/>
  <c r="AC52" i="1"/>
  <c r="AD52" i="1" s="1"/>
  <c r="AC44" i="1"/>
  <c r="AD44" i="1" s="1"/>
  <c r="AC39" i="1"/>
  <c r="AD39" i="1" s="1"/>
  <c r="AC29" i="1"/>
  <c r="AD29" i="1" s="1"/>
  <c r="AC11" i="1"/>
  <c r="AD11" i="1" s="1"/>
  <c r="J9" i="1"/>
  <c r="Q15" i="1" s="1"/>
  <c r="J3" i="1"/>
  <c r="J4" i="1" s="1"/>
  <c r="AK5" i="1"/>
  <c r="AK6" i="1"/>
  <c r="AK7" i="1"/>
  <c r="AP15" i="1" s="1"/>
  <c r="AK8" i="1"/>
  <c r="AK9" i="1"/>
  <c r="AK10" i="1"/>
  <c r="AQ15" i="1" s="1"/>
  <c r="AK11" i="1"/>
  <c r="AK12" i="1"/>
  <c r="AK4" i="1"/>
  <c r="AS4" i="2" l="1"/>
  <c r="N16" i="2"/>
  <c r="AT5" i="2"/>
  <c r="AU6" i="2"/>
  <c r="AV7" i="2"/>
  <c r="AW8" i="2"/>
  <c r="AX9" i="2"/>
  <c r="AY10" i="2"/>
  <c r="AZ11" i="2"/>
  <c r="BA12" i="2"/>
  <c r="BK34" i="2"/>
  <c r="BP5" i="2" s="1"/>
  <c r="BK11" i="2"/>
  <c r="BK7" i="2"/>
  <c r="BK32" i="2"/>
  <c r="BK28" i="2"/>
  <c r="BK41" i="2"/>
  <c r="BK47" i="2"/>
  <c r="BK43" i="2"/>
  <c r="BK46" i="2"/>
  <c r="BJ51" i="2"/>
  <c r="BO6" i="2" s="1"/>
  <c r="N16" i="1"/>
  <c r="N26" i="1" s="1"/>
  <c r="K16" i="2"/>
  <c r="K26" i="2" s="1"/>
  <c r="BJ13" i="2"/>
  <c r="BO4" i="2" s="1"/>
  <c r="AE13" i="2"/>
  <c r="AI13" i="2" s="1"/>
  <c r="AE9" i="2"/>
  <c r="AI9" i="2" s="1"/>
  <c r="AR15" i="1"/>
  <c r="AE12" i="2"/>
  <c r="AI12" i="2" s="1"/>
  <c r="AE11" i="2"/>
  <c r="AI11" i="2" s="1"/>
  <c r="AE10" i="2"/>
  <c r="AI10" i="2" s="1"/>
  <c r="AA15" i="2"/>
  <c r="AE5" i="2"/>
  <c r="AE8" i="2"/>
  <c r="AI8" i="2" s="1"/>
  <c r="AD5" i="2"/>
  <c r="AD4" i="2"/>
  <c r="AE6" i="2"/>
  <c r="AI6" i="2" s="1"/>
  <c r="AE4" i="2"/>
  <c r="AE7" i="2"/>
  <c r="AI7" i="2" s="1"/>
  <c r="AI19" i="2" s="1"/>
  <c r="BJ34" i="2"/>
  <c r="BO5" i="2" s="1"/>
  <c r="AM20" i="2"/>
  <c r="AI20" i="2"/>
  <c r="AC7" i="1"/>
  <c r="AD7" i="1" s="1"/>
  <c r="AC12" i="1"/>
  <c r="AD12" i="1" s="1"/>
  <c r="AC48" i="1"/>
  <c r="AD48" i="1" s="1"/>
  <c r="AC6" i="1"/>
  <c r="AD6" i="1" s="1"/>
  <c r="AC41" i="1"/>
  <c r="AD41" i="1" s="1"/>
  <c r="AC51" i="1"/>
  <c r="AD51" i="1" s="1"/>
  <c r="AC14" i="1"/>
  <c r="AD14" i="1" s="1"/>
  <c r="AC10" i="1"/>
  <c r="AD10" i="1" s="1"/>
  <c r="AC16" i="1"/>
  <c r="AD16" i="1" s="1"/>
  <c r="AC34" i="1"/>
  <c r="AD34" i="1" s="1"/>
  <c r="AC50" i="1"/>
  <c r="AD50" i="1" s="1"/>
  <c r="AC8" i="1"/>
  <c r="AD8" i="1" s="1"/>
  <c r="AC22" i="1"/>
  <c r="AD22" i="1" s="1"/>
  <c r="AC33" i="1"/>
  <c r="AD33" i="1" s="1"/>
  <c r="AC38" i="1"/>
  <c r="AD38" i="1" s="1"/>
  <c r="AC3" i="1"/>
  <c r="AD3" i="1" s="1"/>
  <c r="AC28" i="1"/>
  <c r="AD28" i="1" s="1"/>
  <c r="AC46" i="1"/>
  <c r="AD46" i="1" s="1"/>
  <c r="AC36" i="1"/>
  <c r="AD36" i="1" s="1"/>
  <c r="AC30" i="1"/>
  <c r="AD30" i="1" s="1"/>
  <c r="AC54" i="1"/>
  <c r="AD54" i="1" s="1"/>
  <c r="AC35" i="1"/>
  <c r="AD35" i="1" s="1"/>
  <c r="AC13" i="1"/>
  <c r="AD13" i="1" s="1"/>
  <c r="AC31" i="1"/>
  <c r="AD31" i="1" s="1"/>
  <c r="AC23" i="1"/>
  <c r="AD23" i="1" s="1"/>
  <c r="AC26" i="1"/>
  <c r="AD26" i="1" s="1"/>
  <c r="AC45" i="1"/>
  <c r="AD45" i="1" s="1"/>
  <c r="AC25" i="1"/>
  <c r="AD25" i="1" s="1"/>
  <c r="AC32" i="1"/>
  <c r="AD32" i="1" s="1"/>
  <c r="AC27" i="1"/>
  <c r="AD27" i="1" s="1"/>
  <c r="AC20" i="1"/>
  <c r="AD20" i="1" s="1"/>
  <c r="AC42" i="1"/>
  <c r="AD42" i="1" s="1"/>
  <c r="AN15" i="1"/>
  <c r="K27" i="2" l="1"/>
  <c r="K24" i="2"/>
  <c r="AJ12" i="1"/>
  <c r="AN12" i="1" s="1"/>
  <c r="BK51" i="2"/>
  <c r="BP6" i="2" s="1"/>
  <c r="K30" i="2"/>
  <c r="K22" i="2"/>
  <c r="L22" i="2" s="1"/>
  <c r="M22" i="2" s="1"/>
  <c r="N23" i="1"/>
  <c r="N28" i="1"/>
  <c r="N27" i="1"/>
  <c r="O27" i="1" s="1"/>
  <c r="N25" i="1"/>
  <c r="O26" i="1" s="1"/>
  <c r="N22" i="1"/>
  <c r="O22" i="1" s="1"/>
  <c r="Q22" i="1" s="1"/>
  <c r="N29" i="1"/>
  <c r="N30" i="1"/>
  <c r="N24" i="1"/>
  <c r="K23" i="2"/>
  <c r="K28" i="2"/>
  <c r="L28" i="2" s="1"/>
  <c r="M28" i="2" s="1"/>
  <c r="K25" i="2"/>
  <c r="L26" i="2" s="1"/>
  <c r="M26" i="2" s="1"/>
  <c r="K29" i="2"/>
  <c r="L27" i="2"/>
  <c r="N27" i="2" s="1"/>
  <c r="AI5" i="2"/>
  <c r="AK6" i="2"/>
  <c r="AK10" i="2"/>
  <c r="AN10" i="2" s="1"/>
  <c r="AK8" i="2"/>
  <c r="AK12" i="2"/>
  <c r="AN12" i="2" s="1"/>
  <c r="AK11" i="2"/>
  <c r="AK5" i="2"/>
  <c r="AK14" i="2" s="1"/>
  <c r="AK9" i="2"/>
  <c r="AN9" i="2" s="1"/>
  <c r="AK13" i="2"/>
  <c r="AN13" i="2" s="1"/>
  <c r="AK7" i="2"/>
  <c r="AJ10" i="1"/>
  <c r="AN10" i="1" s="1"/>
  <c r="AJ11" i="1"/>
  <c r="AN11" i="1" s="1"/>
  <c r="AN4" i="1"/>
  <c r="AJ9" i="1"/>
  <c r="AN9" i="1" s="1"/>
  <c r="AJ5" i="1"/>
  <c r="AJ8" i="1"/>
  <c r="AN8" i="1" s="1"/>
  <c r="AM7" i="2"/>
  <c r="AM11" i="2"/>
  <c r="AL6" i="2"/>
  <c r="AL10" i="2"/>
  <c r="AL5" i="2"/>
  <c r="AN11" i="2"/>
  <c r="AM8" i="2"/>
  <c r="AM12" i="2"/>
  <c r="AL7" i="2"/>
  <c r="AL11" i="2"/>
  <c r="AM9" i="2"/>
  <c r="AM13" i="2"/>
  <c r="AL8" i="2"/>
  <c r="AL12" i="2"/>
  <c r="AM6" i="2"/>
  <c r="AM10" i="2"/>
  <c r="AM5" i="2"/>
  <c r="AL9" i="2"/>
  <c r="AL13" i="2"/>
  <c r="AJ7" i="1"/>
  <c r="AN7" i="1" s="1"/>
  <c r="AJ6" i="1"/>
  <c r="AN6" i="1" s="1"/>
  <c r="AJ3" i="1"/>
  <c r="AN5" i="1"/>
  <c r="L24" i="2" l="1"/>
  <c r="M24" i="2" s="1"/>
  <c r="L29" i="2"/>
  <c r="M29" i="2" s="1"/>
  <c r="N28" i="2"/>
  <c r="L25" i="2"/>
  <c r="N25" i="2" s="1"/>
  <c r="M27" i="2"/>
  <c r="L23" i="2"/>
  <c r="N23" i="2" s="1"/>
  <c r="O29" i="1"/>
  <c r="Q29" i="1" s="1"/>
  <c r="O28" i="1"/>
  <c r="Q28" i="1" s="1"/>
  <c r="O25" i="1"/>
  <c r="Q25" i="1" s="1"/>
  <c r="P22" i="1"/>
  <c r="O30" i="1"/>
  <c r="Q30" i="1" s="1"/>
  <c r="O23" i="1"/>
  <c r="P23" i="1" s="1"/>
  <c r="O24" i="1"/>
  <c r="P24" i="1" s="1"/>
  <c r="P26" i="1"/>
  <c r="Q26" i="1"/>
  <c r="Q27" i="1"/>
  <c r="P27" i="1"/>
  <c r="P29" i="1"/>
  <c r="N26" i="2"/>
  <c r="L30" i="2"/>
  <c r="N30" i="2" s="1"/>
  <c r="N22" i="2"/>
  <c r="N24" i="2"/>
  <c r="AK19" i="2"/>
  <c r="AN8" i="2"/>
  <c r="BE26" i="2"/>
  <c r="BE27" i="2"/>
  <c r="BE25" i="2"/>
  <c r="BE29" i="2"/>
  <c r="AV24" i="2"/>
  <c r="AV25" i="2"/>
  <c r="AV26" i="2"/>
  <c r="AV27" i="2"/>
  <c r="AV28" i="2"/>
  <c r="AV29" i="2"/>
  <c r="AV30" i="2"/>
  <c r="AV31" i="2"/>
  <c r="AV32" i="2"/>
  <c r="AV33" i="2"/>
  <c r="AS27" i="2"/>
  <c r="BE28" i="2"/>
  <c r="BE32" i="2"/>
  <c r="AS25" i="2"/>
  <c r="BE33" i="2"/>
  <c r="AZ24" i="2"/>
  <c r="AZ25" i="2"/>
  <c r="AZ26" i="2"/>
  <c r="AZ27" i="2"/>
  <c r="AZ28" i="2"/>
  <c r="AZ29" i="2"/>
  <c r="AZ30" i="2"/>
  <c r="AZ31" i="2"/>
  <c r="AZ32" i="2"/>
  <c r="AZ33" i="2"/>
  <c r="AT33" i="2"/>
  <c r="AY32" i="2"/>
  <c r="AY30" i="2"/>
  <c r="AY28" i="2"/>
  <c r="AY26" i="2"/>
  <c r="AY24" i="2"/>
  <c r="AT32" i="2"/>
  <c r="AX32" i="2"/>
  <c r="AX30" i="2"/>
  <c r="AX28" i="2"/>
  <c r="AX26" i="2"/>
  <c r="AX24" i="2"/>
  <c r="AS28" i="2"/>
  <c r="BA32" i="2"/>
  <c r="BA30" i="2"/>
  <c r="BA28" i="2"/>
  <c r="BA26" i="2"/>
  <c r="BA24" i="2"/>
  <c r="AT31" i="2"/>
  <c r="AU32" i="2"/>
  <c r="AU30" i="2"/>
  <c r="AU28" i="2"/>
  <c r="AU26" i="2"/>
  <c r="AU24" i="2"/>
  <c r="BB33" i="2"/>
  <c r="BB31" i="2"/>
  <c r="BB29" i="2"/>
  <c r="BB27" i="2"/>
  <c r="BB25" i="2"/>
  <c r="AW32" i="2"/>
  <c r="AW30" i="2"/>
  <c r="AW28" i="2"/>
  <c r="AW26" i="2"/>
  <c r="AW24" i="2"/>
  <c r="AT30" i="2"/>
  <c r="AS33" i="2"/>
  <c r="AW29" i="2"/>
  <c r="AT27" i="2"/>
  <c r="AY33" i="2"/>
  <c r="AY31" i="2"/>
  <c r="AY29" i="2"/>
  <c r="AY27" i="2"/>
  <c r="AY25" i="2"/>
  <c r="AT29" i="2"/>
  <c r="AT28" i="2"/>
  <c r="AX33" i="2"/>
  <c r="AX31" i="2"/>
  <c r="AX29" i="2"/>
  <c r="AX27" i="2"/>
  <c r="AX25" i="2"/>
  <c r="AS32" i="2"/>
  <c r="BA33" i="2"/>
  <c r="BA31" i="2"/>
  <c r="BA29" i="2"/>
  <c r="BA27" i="2"/>
  <c r="BA25" i="2"/>
  <c r="AT24" i="2"/>
  <c r="AS30" i="2"/>
  <c r="AS29" i="2"/>
  <c r="AU33" i="2"/>
  <c r="AU31" i="2"/>
  <c r="AU29" i="2"/>
  <c r="AU27" i="2"/>
  <c r="AU25" i="2"/>
  <c r="AT25" i="2"/>
  <c r="BB32" i="2"/>
  <c r="BB30" i="2"/>
  <c r="BB28" i="2"/>
  <c r="BB26" i="2"/>
  <c r="BB24" i="2"/>
  <c r="AW33" i="2"/>
  <c r="AW31" i="2"/>
  <c r="AW27" i="2"/>
  <c r="AW25" i="2"/>
  <c r="AT26" i="2"/>
  <c r="AS26" i="2"/>
  <c r="AN14" i="1"/>
  <c r="N29" i="2" l="1"/>
  <c r="M25" i="2"/>
  <c r="M23" i="2"/>
  <c r="BE4" i="2"/>
  <c r="AV4" i="2"/>
  <c r="AZ4" i="2"/>
  <c r="AS6" i="2"/>
  <c r="AS10" i="2"/>
  <c r="BB7" i="2"/>
  <c r="BA6" i="2"/>
  <c r="AZ5" i="2"/>
  <c r="AZ9" i="2"/>
  <c r="AY8" i="2"/>
  <c r="AX7" i="2"/>
  <c r="AW6" i="2"/>
  <c r="AV5" i="2"/>
  <c r="BB11" i="2"/>
  <c r="BA10" i="2"/>
  <c r="AZ13" i="2"/>
  <c r="AY12" i="2"/>
  <c r="AX11" i="2"/>
  <c r="AW10" i="2"/>
  <c r="AU8" i="2"/>
  <c r="AU4" i="2"/>
  <c r="AS13" i="2"/>
  <c r="AU12" i="2"/>
  <c r="AY4" i="2"/>
  <c r="AT11" i="2"/>
  <c r="AV9" i="2"/>
  <c r="AT7" i="2"/>
  <c r="AS5" i="2"/>
  <c r="AV13" i="2"/>
  <c r="AS9" i="2"/>
  <c r="AZ12" i="2"/>
  <c r="BA4" i="2"/>
  <c r="AZ7" i="2"/>
  <c r="AV11" i="2"/>
  <c r="AT6" i="2"/>
  <c r="AV12" i="2"/>
  <c r="AU5" i="2"/>
  <c r="AW7" i="2"/>
  <c r="AT8" i="2"/>
  <c r="BB8" i="2"/>
  <c r="AY9" i="2"/>
  <c r="AS11" i="2"/>
  <c r="BA11" i="2"/>
  <c r="AX12" i="2"/>
  <c r="AU13" i="2"/>
  <c r="AX10" i="2"/>
  <c r="BA5" i="2"/>
  <c r="AV10" i="2"/>
  <c r="BE13" i="2"/>
  <c r="AW13" i="2"/>
  <c r="AX6" i="2"/>
  <c r="BB10" i="2"/>
  <c r="AU9" i="2"/>
  <c r="AW11" i="2"/>
  <c r="AT12" i="2"/>
  <c r="BB12" i="2"/>
  <c r="AY13" i="2"/>
  <c r="BE12" i="2"/>
  <c r="AW9" i="2"/>
  <c r="BA13" i="2"/>
  <c r="AZ8" i="2"/>
  <c r="AY11" i="2"/>
  <c r="AX5" i="2"/>
  <c r="BE6" i="2"/>
  <c r="AT9" i="2"/>
  <c r="BB9" i="2"/>
  <c r="AS12" i="2"/>
  <c r="BE11" i="2"/>
  <c r="AT4" i="2"/>
  <c r="AV6" i="2"/>
  <c r="BE9" i="2"/>
  <c r="AZ10" i="2"/>
  <c r="AU7" i="2"/>
  <c r="BB5" i="2"/>
  <c r="AY6" i="2"/>
  <c r="AU10" i="2"/>
  <c r="BE10" i="2"/>
  <c r="AT13" i="2"/>
  <c r="AT10" i="2"/>
  <c r="AX4" i="2"/>
  <c r="BE5" i="2"/>
  <c r="AZ6" i="2"/>
  <c r="AV8" i="2"/>
  <c r="BB4" i="2"/>
  <c r="BE7" i="2"/>
  <c r="AU11" i="2"/>
  <c r="AW4" i="2"/>
  <c r="AS8" i="2"/>
  <c r="BA8" i="2"/>
  <c r="AW12" i="2"/>
  <c r="AX13" i="2"/>
  <c r="AY7" i="2"/>
  <c r="AY5" i="2"/>
  <c r="AS7" i="2"/>
  <c r="BA7" i="2"/>
  <c r="AX8" i="2"/>
  <c r="BB6" i="2"/>
  <c r="AW5" i="2"/>
  <c r="BA9" i="2"/>
  <c r="BE8" i="2"/>
  <c r="M30" i="2"/>
  <c r="P28" i="1"/>
  <c r="P25" i="1"/>
  <c r="Q24" i="1"/>
  <c r="P30" i="1"/>
  <c r="Q23" i="1"/>
  <c r="BE31" i="2"/>
  <c r="BE30" i="2"/>
  <c r="AS31" i="2"/>
  <c r="BE24" i="2"/>
  <c r="AQ7" i="1"/>
  <c r="AT7" i="1" s="1"/>
  <c r="AQ12" i="1"/>
  <c r="AT12" i="1" s="1"/>
  <c r="AT4" i="1"/>
  <c r="AQ6" i="1"/>
  <c r="AT6" i="1" s="1"/>
  <c r="AP5" i="1"/>
  <c r="AS5" i="1" s="1"/>
  <c r="AR12" i="1"/>
  <c r="AU12" i="1" s="1"/>
  <c r="AR9" i="1"/>
  <c r="AU9" i="1" s="1"/>
  <c r="AQ10" i="1"/>
  <c r="AP6" i="1"/>
  <c r="AS6" i="1" s="1"/>
  <c r="AR7" i="1"/>
  <c r="AU7" i="1" s="1"/>
  <c r="AP11" i="1"/>
  <c r="AS11" i="1" s="1"/>
  <c r="AP9" i="1"/>
  <c r="AS9" i="1" s="1"/>
  <c r="AQ9" i="1"/>
  <c r="AT9" i="1" s="1"/>
  <c r="AU4" i="1"/>
  <c r="AP10" i="1"/>
  <c r="AS10" i="1" s="1"/>
  <c r="AR8" i="1"/>
  <c r="AU8" i="1" s="1"/>
  <c r="AQ5" i="1"/>
  <c r="AT5" i="1" s="1"/>
  <c r="AP12" i="1"/>
  <c r="AS12" i="1" s="1"/>
  <c r="AR10" i="1"/>
  <c r="AR5" i="1"/>
  <c r="AU5" i="1" s="1"/>
  <c r="AQ11" i="1"/>
  <c r="AT11" i="1" s="1"/>
  <c r="AP7" i="1"/>
  <c r="AR11" i="1"/>
  <c r="AU11" i="1" s="1"/>
  <c r="AP8" i="1"/>
  <c r="AS8" i="1" s="1"/>
  <c r="AR6" i="1"/>
  <c r="AU6" i="1" s="1"/>
  <c r="AQ8" i="1"/>
  <c r="AT8" i="1" s="1"/>
  <c r="AS7" i="1" l="1"/>
  <c r="AS13" i="1" s="1"/>
  <c r="AS14" i="1" s="1"/>
  <c r="AP14" i="1"/>
  <c r="AU10" i="1"/>
  <c r="AU13" i="1" s="1"/>
  <c r="AU14" i="1" s="1"/>
  <c r="AR14" i="1"/>
  <c r="AT10" i="1"/>
  <c r="AT15" i="1" s="1"/>
  <c r="AQ14" i="1"/>
  <c r="AU15" i="1"/>
  <c r="AS15" i="1"/>
  <c r="AO10" i="2"/>
  <c r="AO5" i="2"/>
  <c r="AO6" i="2"/>
  <c r="AO8" i="2"/>
  <c r="AP13" i="2"/>
  <c r="AO9" i="2"/>
  <c r="AO13" i="2"/>
  <c r="AO12" i="2"/>
  <c r="AO11" i="2"/>
  <c r="AP5" i="2"/>
  <c r="AL19" i="2"/>
  <c r="AO7" i="2"/>
  <c r="AT13" i="1" l="1"/>
  <c r="AT14" i="1" s="1"/>
  <c r="AO14" i="2"/>
  <c r="AO15" i="2" s="1"/>
  <c r="AO16" i="2"/>
  <c r="AN5" i="2"/>
  <c r="AN6" i="2"/>
  <c r="AN7" i="2"/>
  <c r="AP6" i="2"/>
  <c r="AP7" i="2"/>
  <c r="AP8" i="2"/>
  <c r="AP9" i="2"/>
  <c r="AP12" i="2"/>
  <c r="AP10" i="2"/>
  <c r="AN16" i="2" l="1"/>
  <c r="AN14" i="2"/>
  <c r="AN15" i="2" s="1"/>
  <c r="AM19" i="2"/>
  <c r="AP11" i="2"/>
  <c r="AP16" i="2" s="1"/>
  <c r="AP14" i="2" l="1"/>
  <c r="AP15" i="2" s="1"/>
</calcChain>
</file>

<file path=xl/sharedStrings.xml><?xml version="1.0" encoding="utf-8"?>
<sst xmlns="http://schemas.openxmlformats.org/spreadsheetml/2006/main" count="189" uniqueCount="95">
  <si>
    <t>Tanggal</t>
  </si>
  <si>
    <t>Jam</t>
  </si>
  <si>
    <t>Lintang (x)</t>
  </si>
  <si>
    <t>Bujur (y)</t>
  </si>
  <si>
    <t>Kedalaman (km)</t>
  </si>
  <si>
    <t>Magnitudo (R)</t>
  </si>
  <si>
    <t>Data Kekuatan Gempa Bumi Jawa Barat Tahun 2021</t>
  </si>
  <si>
    <t>Menghitung jarak antar titik lokasi gempa</t>
  </si>
  <si>
    <t>Lokasi</t>
  </si>
  <si>
    <t>banyak pasangan data</t>
  </si>
  <si>
    <t>Banyak lokasi (n)</t>
  </si>
  <si>
    <t>percobaan</t>
  </si>
  <si>
    <t xml:space="preserve">Lokasi </t>
  </si>
  <si>
    <t>Menghitung Jarak Euclidean</t>
  </si>
  <si>
    <t>min</t>
  </si>
  <si>
    <t xml:space="preserve">max </t>
  </si>
  <si>
    <t>Binning data</t>
  </si>
  <si>
    <t>h</t>
  </si>
  <si>
    <t>delta(h)</t>
  </si>
  <si>
    <t>h-(detla(h)/2)</t>
  </si>
  <si>
    <t>h+(detla(h)/2)</t>
  </si>
  <si>
    <t>banyak pasangan lokasi</t>
  </si>
  <si>
    <t>h= (max/offset-1)*(no offset-1)</t>
  </si>
  <si>
    <t>zi</t>
  </si>
  <si>
    <t>zj</t>
  </si>
  <si>
    <t>jarak(h)</t>
  </si>
  <si>
    <t>(zi-zj)^2</t>
  </si>
  <si>
    <t>offset 1</t>
  </si>
  <si>
    <t>offset 2</t>
  </si>
  <si>
    <t>offset 4</t>
  </si>
  <si>
    <t>offset 5</t>
  </si>
  <si>
    <t>offset 3</t>
  </si>
  <si>
    <t>offset 7</t>
  </si>
  <si>
    <t>offset 6</t>
  </si>
  <si>
    <t>offset 9</t>
  </si>
  <si>
    <t>offset 8</t>
  </si>
  <si>
    <t>offset 10</t>
  </si>
  <si>
    <t>Menentukan semivarian</t>
  </si>
  <si>
    <t>Offset</t>
  </si>
  <si>
    <t>banyak lokasi</t>
  </si>
  <si>
    <t>sigma(zi-zj)^2</t>
  </si>
  <si>
    <t>bin center</t>
  </si>
  <si>
    <t>bin range</t>
  </si>
  <si>
    <t>semivarians</t>
  </si>
  <si>
    <t>spherical</t>
  </si>
  <si>
    <t>exponential</t>
  </si>
  <si>
    <t>gaussian</t>
  </si>
  <si>
    <t>sill ( C )</t>
  </si>
  <si>
    <t>nugget (C0)</t>
  </si>
  <si>
    <t>range (a)</t>
  </si>
  <si>
    <t>SE sphr</t>
  </si>
  <si>
    <t>SE exp</t>
  </si>
  <si>
    <t>SE gau</t>
  </si>
  <si>
    <t>MSE</t>
  </si>
  <si>
    <t>RMSE</t>
  </si>
  <si>
    <t>SSE</t>
  </si>
  <si>
    <t>prediksi</t>
  </si>
  <si>
    <t>si,sj</t>
  </si>
  <si>
    <t>vektor kovarians data dengan prediksi</t>
  </si>
  <si>
    <t>si,s0</t>
  </si>
  <si>
    <t>Bobot Kriging (lambda)</t>
  </si>
  <si>
    <t>lambda(i)</t>
  </si>
  <si>
    <t>s11</t>
  </si>
  <si>
    <t>Data</t>
  </si>
  <si>
    <t>total</t>
  </si>
  <si>
    <t xml:space="preserve">mean </t>
  </si>
  <si>
    <t>Matriks kovarians data sigma(Z(si),Z(sj)))</t>
  </si>
  <si>
    <t xml:space="preserve"> </t>
  </si>
  <si>
    <t>rata-rata</t>
  </si>
  <si>
    <t>Video Referensi</t>
  </si>
  <si>
    <t>https://www.youtube.com/watch?v=zyM076k1FIY</t>
  </si>
  <si>
    <t>Turtorial kriging di excel</t>
  </si>
  <si>
    <t>https://www.youtube.com/watch?v=dfSMGJFRL1U</t>
  </si>
  <si>
    <t>Derivations of Kriging Equations</t>
  </si>
  <si>
    <t>Kriging- a Mathematical Overview</t>
  </si>
  <si>
    <t>https://www.youtube.com/watch?v=HDW-HLMxcnE</t>
  </si>
  <si>
    <t>mean (Z)</t>
  </si>
  <si>
    <t>mean (jarak)</t>
  </si>
  <si>
    <t>h sesuai binning data</t>
  </si>
  <si>
    <t>h sesuai data</t>
  </si>
  <si>
    <t>Sesuai rumus</t>
  </si>
  <si>
    <t>OK</t>
  </si>
  <si>
    <t>SK</t>
  </si>
  <si>
    <t>Simple Kriging</t>
  </si>
  <si>
    <t>Ordinary Kriging</t>
  </si>
  <si>
    <t>Semivariogram spherical</t>
  </si>
  <si>
    <t>Semivariogram exponential</t>
  </si>
  <si>
    <t>Semivariogram gaussian</t>
  </si>
  <si>
    <t>Semivarogram Eksperimental</t>
  </si>
  <si>
    <t>APE (spherical)</t>
  </si>
  <si>
    <t>APE (exponential)</t>
  </si>
  <si>
    <t>APE (gaussian)</t>
  </si>
  <si>
    <t>MEAN</t>
  </si>
  <si>
    <t>Square root</t>
  </si>
  <si>
    <t>h sesuai data percobaan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</si>
</sst>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00000000"/>
    <numFmt numFmtId="165" formatCode="[$-13809]dd/mm/yyyy;@"/>
    <numFmt numFmtId="166" formatCode="[$-13809]hh:mm:ss;@"/>
    <numFmt numFmtId="167" formatCode="0.000"/>
    <numFmt numFmtId="168" formatCode="0.0"/>
    <numFmt numFmtId="169" formatCode="0.0000"/>
    <numFmt numFmtId="170" formatCode="0.00000"/>
    <numFmt numFmtId="171" formatCode="0.000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charset val="134"/>
    </font>
    <font>
      <sz val="11"/>
      <color theme="1"/>
      <name val="Times New Roman"/>
      <family val="1"/>
    </font>
    <font>
      <sz val="11"/>
      <color theme="1"/>
      <name val="Calibri"/>
      <family val="1"/>
      <charset val="134"/>
    </font>
    <font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Border="1" applyAlignment="1">
      <alignment horizontal="center"/>
    </xf>
    <xf numFmtId="0" fontId="0" fillId="2" borderId="1" xfId="0" applyFill="1" applyBorder="1"/>
    <xf numFmtId="165" fontId="5" fillId="2" borderId="1" xfId="0" applyNumberFormat="1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7" fontId="5" fillId="2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68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4" fillId="0" borderId="1" xfId="0" applyFont="1" applyBorder="1"/>
    <xf numFmtId="0" fontId="4" fillId="2" borderId="1" xfId="0" applyFont="1" applyFill="1" applyBorder="1"/>
    <xf numFmtId="0" fontId="4" fillId="0" borderId="1" xfId="0" applyFont="1" applyBorder="1" applyAlignment="1">
      <alignment vertical="center"/>
    </xf>
    <xf numFmtId="0" fontId="0" fillId="2" borderId="0" xfId="0" applyFill="1"/>
    <xf numFmtId="169" fontId="0" fillId="2" borderId="1" xfId="0" applyNumberFormat="1" applyFill="1" applyBorder="1"/>
    <xf numFmtId="0" fontId="7" fillId="0" borderId="1" xfId="0" applyFont="1" applyBorder="1"/>
    <xf numFmtId="0" fontId="0" fillId="0" borderId="0" xfId="0" applyBorder="1"/>
    <xf numFmtId="168" fontId="5" fillId="0" borderId="0" xfId="0" applyNumberFormat="1" applyFont="1" applyFill="1" applyBorder="1" applyAlignment="1">
      <alignment horizontal="center"/>
    </xf>
    <xf numFmtId="169" fontId="0" fillId="0" borderId="0" xfId="0" applyNumberFormat="1" applyBorder="1"/>
    <xf numFmtId="169" fontId="0" fillId="0" borderId="2" xfId="0" applyNumberFormat="1" applyBorder="1"/>
    <xf numFmtId="1" fontId="0" fillId="0" borderId="0" xfId="0" applyNumberFormat="1" applyBorder="1"/>
    <xf numFmtId="168" fontId="5" fillId="3" borderId="0" xfId="0" applyNumberFormat="1" applyFont="1" applyFill="1" applyBorder="1" applyAlignment="1">
      <alignment horizontal="center"/>
    </xf>
    <xf numFmtId="168" fontId="5" fillId="3" borderId="2" xfId="0" applyNumberFormat="1" applyFont="1" applyFill="1" applyBorder="1" applyAlignment="1">
      <alignment horizontal="center"/>
    </xf>
    <xf numFmtId="169" fontId="0" fillId="0" borderId="8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Fill="1" applyBorder="1"/>
    <xf numFmtId="0" fontId="4" fillId="4" borderId="1" xfId="0" applyFont="1" applyFill="1" applyBorder="1"/>
    <xf numFmtId="165" fontId="5" fillId="5" borderId="1" xfId="0" applyNumberFormat="1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/>
    </xf>
    <xf numFmtId="167" fontId="5" fillId="5" borderId="1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68" fontId="5" fillId="5" borderId="1" xfId="0" applyNumberFormat="1" applyFont="1" applyFill="1" applyBorder="1" applyAlignment="1">
      <alignment horizontal="center"/>
    </xf>
    <xf numFmtId="168" fontId="6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/>
    <xf numFmtId="1" fontId="0" fillId="0" borderId="2" xfId="0" applyNumberFormat="1" applyBorder="1"/>
    <xf numFmtId="1" fontId="0" fillId="0" borderId="8" xfId="0" applyNumberFormat="1" applyBorder="1"/>
    <xf numFmtId="168" fontId="6" fillId="0" borderId="2" xfId="0" applyNumberFormat="1" applyFont="1" applyFill="1" applyBorder="1" applyAlignment="1">
      <alignment horizontal="center"/>
    </xf>
    <xf numFmtId="168" fontId="5" fillId="0" borderId="0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2" xfId="0" applyNumberFormat="1" applyBorder="1"/>
    <xf numFmtId="167" fontId="0" fillId="0" borderId="0" xfId="0" applyNumberFormat="1" applyFill="1" applyBorder="1"/>
    <xf numFmtId="167" fontId="0" fillId="0" borderId="8" xfId="0" applyNumberFormat="1" applyBorder="1"/>
    <xf numFmtId="169" fontId="0" fillId="0" borderId="1" xfId="0" applyNumberFormat="1" applyBorder="1"/>
    <xf numFmtId="168" fontId="5" fillId="0" borderId="9" xfId="0" applyNumberFormat="1" applyFont="1" applyFill="1" applyBorder="1" applyAlignment="1">
      <alignment horizontal="center"/>
    </xf>
    <xf numFmtId="168" fontId="5" fillId="0" borderId="11" xfId="0" applyNumberFormat="1" applyFont="1" applyFill="1" applyBorder="1" applyAlignment="1">
      <alignment horizontal="center"/>
    </xf>
    <xf numFmtId="168" fontId="5" fillId="0" borderId="12" xfId="0" applyNumberFormat="1" applyFont="1" applyFill="1" applyBorder="1" applyAlignment="1">
      <alignment horizontal="center"/>
    </xf>
    <xf numFmtId="167" fontId="0" fillId="0" borderId="2" xfId="0" applyNumberFormat="1" applyFill="1" applyBorder="1"/>
    <xf numFmtId="1" fontId="0" fillId="0" borderId="10" xfId="0" applyNumberFormat="1" applyBorder="1"/>
    <xf numFmtId="169" fontId="0" fillId="0" borderId="10" xfId="0" applyNumberFormat="1" applyBorder="1"/>
    <xf numFmtId="168" fontId="6" fillId="0" borderId="8" xfId="0" applyNumberFormat="1" applyFont="1" applyFill="1" applyBorder="1" applyAlignment="1">
      <alignment horizontal="center"/>
    </xf>
    <xf numFmtId="168" fontId="0" fillId="0" borderId="0" xfId="0" applyNumberFormat="1" applyFill="1" applyBorder="1" applyAlignment="1">
      <alignment horizontal="center" vertical="center"/>
    </xf>
    <xf numFmtId="169" fontId="0" fillId="0" borderId="0" xfId="0" applyNumberFormat="1" applyFill="1" applyBorder="1"/>
    <xf numFmtId="0" fontId="4" fillId="0" borderId="0" xfId="0" applyFont="1" applyFill="1" applyBorder="1"/>
    <xf numFmtId="0" fontId="3" fillId="0" borderId="0" xfId="0" applyFont="1"/>
    <xf numFmtId="168" fontId="6" fillId="0" borderId="0" xfId="0" applyNumberFormat="1" applyFont="1" applyBorder="1" applyAlignment="1">
      <alignment horizontal="center" vertical="center"/>
    </xf>
    <xf numFmtId="168" fontId="6" fillId="0" borderId="8" xfId="0" applyNumberFormat="1" applyFont="1" applyBorder="1" applyAlignment="1">
      <alignment horizontal="center" vertical="center"/>
    </xf>
    <xf numFmtId="168" fontId="6" fillId="0" borderId="0" xfId="0" applyNumberFormat="1" applyFont="1" applyFill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/>
    <xf numFmtId="168" fontId="5" fillId="6" borderId="9" xfId="0" applyNumberFormat="1" applyFont="1" applyFill="1" applyBorder="1" applyAlignment="1">
      <alignment horizontal="center"/>
    </xf>
    <xf numFmtId="168" fontId="5" fillId="7" borderId="9" xfId="0" applyNumberFormat="1" applyFont="1" applyFill="1" applyBorder="1" applyAlignment="1">
      <alignment horizontal="center"/>
    </xf>
    <xf numFmtId="168" fontId="5" fillId="6" borderId="11" xfId="0" applyNumberFormat="1" applyFont="1" applyFill="1" applyBorder="1" applyAlignment="1">
      <alignment horizontal="center"/>
    </xf>
    <xf numFmtId="168" fontId="5" fillId="8" borderId="11" xfId="0" applyNumberFormat="1" applyFont="1" applyFill="1" applyBorder="1" applyAlignment="1">
      <alignment horizontal="center"/>
    </xf>
    <xf numFmtId="168" fontId="6" fillId="8" borderId="0" xfId="0" applyNumberFormat="1" applyFont="1" applyFill="1" applyBorder="1" applyAlignment="1">
      <alignment horizontal="center"/>
    </xf>
    <xf numFmtId="168" fontId="6" fillId="6" borderId="0" xfId="0" applyNumberFormat="1" applyFont="1" applyFill="1" applyBorder="1" applyAlignment="1">
      <alignment horizontal="center" vertical="center"/>
    </xf>
    <xf numFmtId="168" fontId="6" fillId="7" borderId="8" xfId="0" applyNumberFormat="1" applyFont="1" applyFill="1" applyBorder="1" applyAlignment="1">
      <alignment horizontal="center"/>
    </xf>
    <xf numFmtId="168" fontId="5" fillId="8" borderId="9" xfId="0" applyNumberFormat="1" applyFont="1" applyFill="1" applyBorder="1" applyAlignment="1">
      <alignment horizontal="center"/>
    </xf>
    <xf numFmtId="168" fontId="5" fillId="7" borderId="11" xfId="0" applyNumberFormat="1" applyFont="1" applyFill="1" applyBorder="1" applyAlignment="1">
      <alignment horizontal="center"/>
    </xf>
    <xf numFmtId="168" fontId="5" fillId="7" borderId="12" xfId="0" applyNumberFormat="1" applyFont="1" applyFill="1" applyBorder="1" applyAlignment="1">
      <alignment horizontal="center"/>
    </xf>
    <xf numFmtId="168" fontId="5" fillId="6" borderId="12" xfId="0" applyNumberFormat="1" applyFont="1" applyFill="1" applyBorder="1" applyAlignment="1">
      <alignment horizontal="center"/>
    </xf>
    <xf numFmtId="168" fontId="6" fillId="7" borderId="0" xfId="0" applyNumberFormat="1" applyFont="1" applyFill="1" applyBorder="1" applyAlignment="1">
      <alignment horizontal="center"/>
    </xf>
    <xf numFmtId="168" fontId="6" fillId="7" borderId="2" xfId="0" applyNumberFormat="1" applyFont="1" applyFill="1" applyBorder="1" applyAlignment="1">
      <alignment horizontal="center"/>
    </xf>
    <xf numFmtId="168" fontId="6" fillId="6" borderId="8" xfId="0" applyNumberFormat="1" applyFont="1" applyFill="1" applyBorder="1" applyAlignment="1">
      <alignment horizontal="center" vertical="center"/>
    </xf>
    <xf numFmtId="168" fontId="6" fillId="6" borderId="2" xfId="0" applyNumberFormat="1" applyFont="1" applyFill="1" applyBorder="1" applyAlignment="1">
      <alignment horizontal="center" vertical="center"/>
    </xf>
    <xf numFmtId="168" fontId="6" fillId="8" borderId="8" xfId="0" applyNumberFormat="1" applyFont="1" applyFill="1" applyBorder="1" applyAlignment="1">
      <alignment horizontal="center"/>
    </xf>
    <xf numFmtId="168" fontId="0" fillId="0" borderId="1" xfId="0" applyNumberFormat="1" applyBorder="1"/>
    <xf numFmtId="0" fontId="0" fillId="0" borderId="13" xfId="0" applyFill="1" applyBorder="1"/>
    <xf numFmtId="0" fontId="8" fillId="0" borderId="0" xfId="0" applyFont="1"/>
    <xf numFmtId="0" fontId="0" fillId="5" borderId="1" xfId="0" applyFill="1" applyBorder="1"/>
    <xf numFmtId="0" fontId="0" fillId="10" borderId="1" xfId="0" applyFill="1" applyBorder="1"/>
    <xf numFmtId="0" fontId="0" fillId="0" borderId="0" xfId="0" applyFill="1" applyBorder="1"/>
    <xf numFmtId="0" fontId="2" fillId="9" borderId="1" xfId="0" applyFont="1" applyFill="1" applyBorder="1"/>
    <xf numFmtId="170" fontId="0" fillId="0" borderId="1" xfId="0" applyNumberFormat="1" applyBorder="1"/>
    <xf numFmtId="170" fontId="0" fillId="10" borderId="1" xfId="0" applyNumberFormat="1" applyFill="1" applyBorder="1"/>
    <xf numFmtId="0" fontId="0" fillId="11" borderId="1" xfId="0" applyFill="1" applyBorder="1"/>
    <xf numFmtId="171" fontId="0" fillId="0" borderId="1" xfId="0" applyNumberFormat="1" applyBorder="1"/>
    <xf numFmtId="0" fontId="2" fillId="0" borderId="0" xfId="0" applyFont="1"/>
    <xf numFmtId="0" fontId="0" fillId="12" borderId="1" xfId="0" applyFill="1" applyBorder="1"/>
    <xf numFmtId="165" fontId="5" fillId="12" borderId="1" xfId="0" applyNumberFormat="1" applyFont="1" applyFill="1" applyBorder="1" applyAlignment="1">
      <alignment horizontal="center"/>
    </xf>
    <xf numFmtId="166" fontId="5" fillId="12" borderId="1" xfId="0" applyNumberFormat="1" applyFont="1" applyFill="1" applyBorder="1" applyAlignment="1">
      <alignment horizontal="center"/>
    </xf>
    <xf numFmtId="167" fontId="5" fillId="12" borderId="1" xfId="0" applyNumberFormat="1" applyFont="1" applyFill="1" applyBorder="1" applyAlignment="1">
      <alignment horizontal="center"/>
    </xf>
    <xf numFmtId="1" fontId="5" fillId="12" borderId="1" xfId="0" applyNumberFormat="1" applyFont="1" applyFill="1" applyBorder="1" applyAlignment="1">
      <alignment horizontal="center"/>
    </xf>
    <xf numFmtId="168" fontId="5" fillId="12" borderId="1" xfId="0" applyNumberFormat="1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167" fontId="5" fillId="0" borderId="1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68" fontId="5" fillId="0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169" fontId="0" fillId="0" borderId="1" xfId="0" applyNumberFormat="1" applyFill="1" applyBorder="1"/>
    <xf numFmtId="0" fontId="3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13" borderId="1" xfId="0" applyFill="1" applyBorder="1"/>
    <xf numFmtId="169" fontId="0" fillId="11" borderId="1" xfId="0" applyNumberFormat="1" applyFill="1" applyBorder="1"/>
    <xf numFmtId="0" fontId="1" fillId="14" borderId="0" xfId="0" applyFont="1" applyFill="1"/>
    <xf numFmtId="0" fontId="1" fillId="0" borderId="0" xfId="0" applyFont="1"/>
    <xf numFmtId="0" fontId="1" fillId="9" borderId="1" xfId="0" applyFont="1" applyFill="1" applyBorder="1"/>
    <xf numFmtId="0" fontId="1" fillId="9" borderId="6" xfId="0" applyFont="1" applyFill="1" applyBorder="1"/>
    <xf numFmtId="0" fontId="1" fillId="2" borderId="1" xfId="0" applyFont="1" applyFill="1" applyBorder="1"/>
    <xf numFmtId="0" fontId="4" fillId="0" borderId="1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169" fontId="0" fillId="0" borderId="6" xfId="0" applyNumberFormat="1" applyBorder="1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9" fontId="0" fillId="0" borderId="1" xfId="0" applyNumberForma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 shrinkToFit="1"/>
    </xf>
    <xf numFmtId="164" fontId="5" fillId="0" borderId="7" xfId="0" applyNumberFormat="1" applyFont="1" applyBorder="1" applyAlignment="1">
      <alignment horizontal="center" vertical="center" shrinkToFi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8" fontId="0" fillId="1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semivariogram dengan binning data</a:t>
            </a:r>
          </a:p>
        </c:rich>
      </c:tx>
      <c:layout>
        <c:manualLayout>
          <c:xMode val="edge"/>
          <c:yMode val="edge"/>
          <c:x val="0.24064050778409693"/>
          <c:y val="3.2218473425992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semivariogram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'Olah Semivariogram'!$AK$3:$AK$12</c:f>
              <c:numCache>
                <c:formatCode>General</c:formatCode>
                <c:ptCount val="10"/>
                <c:pt idx="0">
                  <c:v>0</c:v>
                </c:pt>
                <c:pt idx="1">
                  <c:v>0.11996398636548608</c:v>
                </c:pt>
                <c:pt idx="2">
                  <c:v>0.23992797273097213</c:v>
                </c:pt>
                <c:pt idx="3">
                  <c:v>0.35989195909645821</c:v>
                </c:pt>
                <c:pt idx="4">
                  <c:v>0.47985594546194427</c:v>
                </c:pt>
                <c:pt idx="5">
                  <c:v>0.59981993182743032</c:v>
                </c:pt>
                <c:pt idx="6">
                  <c:v>0.71978391819291643</c:v>
                </c:pt>
                <c:pt idx="7">
                  <c:v>0.83974790455840242</c:v>
                </c:pt>
                <c:pt idx="8">
                  <c:v>0.95971189092388853</c:v>
                </c:pt>
                <c:pt idx="9">
                  <c:v>1.0796758772893746</c:v>
                </c:pt>
              </c:numCache>
            </c:numRef>
          </c:xVal>
          <c:yVal>
            <c:numRef>
              <c:f>'Olah Semivariogram'!$AN$3:$AN$12</c:f>
              <c:numCache>
                <c:formatCode>General</c:formatCode>
                <c:ptCount val="10"/>
                <c:pt idx="0">
                  <c:v>0</c:v>
                </c:pt>
                <c:pt idx="1">
                  <c:v>0.57250000000000001</c:v>
                </c:pt>
                <c:pt idx="2">
                  <c:v>8.5000000000000048E-2</c:v>
                </c:pt>
                <c:pt idx="3">
                  <c:v>0.61699999999999988</c:v>
                </c:pt>
                <c:pt idx="4">
                  <c:v>0.22124999999999995</c:v>
                </c:pt>
                <c:pt idx="5">
                  <c:v>0.26500000000000001</c:v>
                </c:pt>
                <c:pt idx="6">
                  <c:v>0.27599999999999997</c:v>
                </c:pt>
                <c:pt idx="7">
                  <c:v>0.14999999999999994</c:v>
                </c:pt>
                <c:pt idx="8">
                  <c:v>0.74</c:v>
                </c:pt>
                <c:pt idx="9">
                  <c:v>4.1666666666666637E-2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9D-4E47-A3BE-C62CFCCA78C9}"/>
            </c:ext>
          </c:extLst>
        </c:ser>
        <c:ser>
          <c:idx val="1"/>
          <c:order val="1"/>
          <c:tx>
            <c:v>spherical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'Olah Semivariogram'!$AK$3:$AK$12</c:f>
              <c:numCache>
                <c:formatCode>General</c:formatCode>
                <c:ptCount val="10"/>
                <c:pt idx="0">
                  <c:v>0</c:v>
                </c:pt>
                <c:pt idx="1">
                  <c:v>0.11996398636548608</c:v>
                </c:pt>
                <c:pt idx="2">
                  <c:v>0.23992797273097213</c:v>
                </c:pt>
                <c:pt idx="3">
                  <c:v>0.35989195909645821</c:v>
                </c:pt>
                <c:pt idx="4">
                  <c:v>0.47985594546194427</c:v>
                </c:pt>
                <c:pt idx="5">
                  <c:v>0.59981993182743032</c:v>
                </c:pt>
                <c:pt idx="6">
                  <c:v>0.71978391819291643</c:v>
                </c:pt>
                <c:pt idx="7">
                  <c:v>0.83974790455840242</c:v>
                </c:pt>
                <c:pt idx="8">
                  <c:v>0.95971189092388853</c:v>
                </c:pt>
                <c:pt idx="9">
                  <c:v>1.0796758772893746</c:v>
                </c:pt>
              </c:numCache>
            </c:numRef>
          </c:xVal>
          <c:yVal>
            <c:numRef>
              <c:f>'Olah Semivariogram'!$AP$3:$AP$12</c:f>
              <c:numCache>
                <c:formatCode>General</c:formatCode>
                <c:ptCount val="10"/>
                <c:pt idx="0">
                  <c:v>0</c:v>
                </c:pt>
                <c:pt idx="1">
                  <c:v>0.17473724489795917</c:v>
                </c:pt>
                <c:pt idx="2">
                  <c:v>0.32014795918367339</c:v>
                </c:pt>
                <c:pt idx="3">
                  <c:v>0.40690561224489791</c:v>
                </c:pt>
                <c:pt idx="4">
                  <c:v>0.41912499999999991</c:v>
                </c:pt>
                <c:pt idx="5">
                  <c:v>0.41912499999999991</c:v>
                </c:pt>
                <c:pt idx="6">
                  <c:v>0.41912499999999991</c:v>
                </c:pt>
                <c:pt idx="7">
                  <c:v>0.41912499999999991</c:v>
                </c:pt>
                <c:pt idx="8">
                  <c:v>0.41912499999999991</c:v>
                </c:pt>
                <c:pt idx="9">
                  <c:v>0.41912499999999991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9D-4E47-A3BE-C62CFCCA78C9}"/>
            </c:ext>
          </c:extLst>
        </c:ser>
        <c:ser>
          <c:idx val="2"/>
          <c:order val="2"/>
          <c:tx>
            <c:v>exponential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'Olah Semivariogram'!$AK$3:$AK$12</c:f>
              <c:numCache>
                <c:formatCode>General</c:formatCode>
                <c:ptCount val="10"/>
                <c:pt idx="0">
                  <c:v>0</c:v>
                </c:pt>
                <c:pt idx="1">
                  <c:v>0.11996398636548608</c:v>
                </c:pt>
                <c:pt idx="2">
                  <c:v>0.23992797273097213</c:v>
                </c:pt>
                <c:pt idx="3">
                  <c:v>0.35989195909645821</c:v>
                </c:pt>
                <c:pt idx="4">
                  <c:v>0.47985594546194427</c:v>
                </c:pt>
                <c:pt idx="5">
                  <c:v>0.59981993182743032</c:v>
                </c:pt>
                <c:pt idx="6">
                  <c:v>0.71978391819291643</c:v>
                </c:pt>
                <c:pt idx="7">
                  <c:v>0.83974790455840242</c:v>
                </c:pt>
                <c:pt idx="8">
                  <c:v>0.95971189092388853</c:v>
                </c:pt>
                <c:pt idx="9">
                  <c:v>1.0796758772893746</c:v>
                </c:pt>
              </c:numCache>
            </c:numRef>
          </c:xVal>
          <c:yVal>
            <c:numRef>
              <c:f>'Olah Semivariogram'!$AQ$3:$AQ$12</c:f>
              <c:numCache>
                <c:formatCode>General</c:formatCode>
                <c:ptCount val="10"/>
                <c:pt idx="0">
                  <c:v>0</c:v>
                </c:pt>
                <c:pt idx="1">
                  <c:v>0.10416207953982079</c:v>
                </c:pt>
                <c:pt idx="2">
                  <c:v>0.1824375171134979</c:v>
                </c:pt>
                <c:pt idx="3">
                  <c:v>0.2412597310556483</c:v>
                </c:pt>
                <c:pt idx="4">
                  <c:v>0.28546328916159081</c:v>
                </c:pt>
                <c:pt idx="5">
                  <c:v>0.31868125935134067</c:v>
                </c:pt>
                <c:pt idx="6">
                  <c:v>0.3436438096709894</c:v>
                </c:pt>
                <c:pt idx="7">
                  <c:v>0.36240259941345465</c:v>
                </c:pt>
                <c:pt idx="8">
                  <c:v>0.37649940395049086</c:v>
                </c:pt>
                <c:pt idx="9">
                  <c:v>0.38709283246499426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9D-4E47-A3BE-C62CFCCA78C9}"/>
            </c:ext>
          </c:extLst>
        </c:ser>
        <c:ser>
          <c:idx val="3"/>
          <c:order val="3"/>
          <c:tx>
            <c:v>gaussian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'Olah Semivariogram'!$AK$3:$AK$12</c:f>
              <c:numCache>
                <c:formatCode>General</c:formatCode>
                <c:ptCount val="10"/>
                <c:pt idx="0">
                  <c:v>0</c:v>
                </c:pt>
                <c:pt idx="1">
                  <c:v>0.11996398636548608</c:v>
                </c:pt>
                <c:pt idx="2">
                  <c:v>0.23992797273097213</c:v>
                </c:pt>
                <c:pt idx="3">
                  <c:v>0.35989195909645821</c:v>
                </c:pt>
                <c:pt idx="4">
                  <c:v>0.47985594546194427</c:v>
                </c:pt>
                <c:pt idx="5">
                  <c:v>0.59981993182743032</c:v>
                </c:pt>
                <c:pt idx="6">
                  <c:v>0.71978391819291643</c:v>
                </c:pt>
                <c:pt idx="7">
                  <c:v>0.83974790455840242</c:v>
                </c:pt>
                <c:pt idx="8">
                  <c:v>0.95971189092388853</c:v>
                </c:pt>
                <c:pt idx="9">
                  <c:v>1.0796758772893746</c:v>
                </c:pt>
              </c:numCache>
            </c:numRef>
          </c:xVal>
          <c:yVal>
            <c:numRef>
              <c:f>'Olah Semivariogram'!$AR$3:$AR$12</c:f>
              <c:numCache>
                <c:formatCode>General</c:formatCode>
                <c:ptCount val="10"/>
                <c:pt idx="0">
                  <c:v>0</c:v>
                </c:pt>
                <c:pt idx="1">
                  <c:v>3.2855021276341094E-2</c:v>
                </c:pt>
                <c:pt idx="2">
                  <c:v>0.11675888255506281</c:v>
                </c:pt>
                <c:pt idx="3">
                  <c:v>0.21809074282660768</c:v>
                </c:pt>
                <c:pt idx="4">
                  <c:v>0.30559731182981698</c:v>
                </c:pt>
                <c:pt idx="5">
                  <c:v>0.36467118679414184</c:v>
                </c:pt>
                <c:pt idx="6">
                  <c:v>0.3969405033774534</c:v>
                </c:pt>
                <c:pt idx="7">
                  <c:v>0.41144845785075917</c:v>
                </c:pt>
                <c:pt idx="8">
                  <c:v>0.41686880580591851</c:v>
                </c:pt>
                <c:pt idx="9">
                  <c:v>0.41856177477879541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9D-4E47-A3BE-C62CFCCA7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953631"/>
        <c:axId val="1897954879"/>
      </c:scatterChart>
      <c:valAx>
        <c:axId val="189795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lag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54879"/>
        <c:crosses val="autoZero"/>
        <c:crossBetween val="midCat"/>
      </c:valAx>
      <c:valAx>
        <c:axId val="18979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semivariance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5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Semivariogram tanpa binning data</a:t>
            </a:r>
          </a:p>
        </c:rich>
      </c:tx>
      <c:layout>
        <c:manualLayout>
          <c:xMode val="edge"/>
          <c:yMode val="edge"/>
          <c:x val="0.196990743024912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33731922354393E-2"/>
          <c:y val="0.17110193434689569"/>
          <c:w val="0.84802500991448981"/>
          <c:h val="0.72143971075709468"/>
        </c:manualLayout>
      </c:layout>
      <c:scatterChart>
        <c:scatterStyle val="smoothMarker"/>
        <c:varyColors val="0"/>
        <c:ser>
          <c:idx val="0"/>
          <c:order val="0"/>
          <c:tx>
            <c:v>Semivariogram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'Olah Semivariogram'!$AB$12:$AB$57</c:f>
              <c:numCache>
                <c:formatCode>00,000</c:formatCode>
                <c:ptCount val="46"/>
                <c:pt idx="0" formatCode="0">
                  <c:v>0</c:v>
                </c:pt>
                <c:pt idx="1">
                  <c:v>2.2360679774549374E-2</c:v>
                </c:pt>
                <c:pt idx="2">
                  <c:v>6.3150613616361984E-2</c:v>
                </c:pt>
                <c:pt idx="3">
                  <c:v>8.0000000001007265E-2</c:v>
                </c:pt>
                <c:pt idx="4">
                  <c:v>9.9639349656469492E-2</c:v>
                </c:pt>
                <c:pt idx="5">
                  <c:v>0.13601470508735297</c:v>
                </c:pt>
                <c:pt idx="6">
                  <c:v>0.13859292911257254</c:v>
                </c:pt>
                <c:pt idx="7">
                  <c:v>0.1941648783903043</c:v>
                </c:pt>
                <c:pt idx="8">
                  <c:v>0.28635642126461563</c:v>
                </c:pt>
                <c:pt idx="9">
                  <c:v>0.31144823004727346</c:v>
                </c:pt>
                <c:pt idx="10">
                  <c:v>0.33837848631377154</c:v>
                </c:pt>
                <c:pt idx="11">
                  <c:v>0.35355339059327301</c:v>
                </c:pt>
                <c:pt idx="12">
                  <c:v>0.35850801943610949</c:v>
                </c:pt>
                <c:pt idx="13">
                  <c:v>0.36400549446438535</c:v>
                </c:pt>
                <c:pt idx="14">
                  <c:v>0.38897300677623226</c:v>
                </c:pt>
                <c:pt idx="15">
                  <c:v>0.40175614494286138</c:v>
                </c:pt>
                <c:pt idx="16">
                  <c:v>0.40224370722180075</c:v>
                </c:pt>
                <c:pt idx="17">
                  <c:v>0.40521599178709572</c:v>
                </c:pt>
                <c:pt idx="18">
                  <c:v>0.4152926678865656</c:v>
                </c:pt>
                <c:pt idx="19">
                  <c:v>0.44777226354476307</c:v>
                </c:pt>
                <c:pt idx="20">
                  <c:v>0.45099889135118748</c:v>
                </c:pt>
                <c:pt idx="21">
                  <c:v>0.45276925690687242</c:v>
                </c:pt>
                <c:pt idx="22">
                  <c:v>0.45276925690698211</c:v>
                </c:pt>
                <c:pt idx="23">
                  <c:v>0.58821764679328947</c:v>
                </c:pt>
                <c:pt idx="24">
                  <c:v>0.59203040462462664</c:v>
                </c:pt>
                <c:pt idx="25">
                  <c:v>0.64498682157037124</c:v>
                </c:pt>
                <c:pt idx="26">
                  <c:v>0.65513357416636986</c:v>
                </c:pt>
                <c:pt idx="27">
                  <c:v>0.65734313718263382</c:v>
                </c:pt>
                <c:pt idx="28">
                  <c:v>0.66370174024180661</c:v>
                </c:pt>
                <c:pt idx="29">
                  <c:v>0.70342021580250225</c:v>
                </c:pt>
                <c:pt idx="30">
                  <c:v>0.71512236715124489</c:v>
                </c:pt>
                <c:pt idx="31">
                  <c:v>0.72520893541023967</c:v>
                </c:pt>
                <c:pt idx="32">
                  <c:v>0.72801098892805338</c:v>
                </c:pt>
                <c:pt idx="33">
                  <c:v>0.72964923079519095</c:v>
                </c:pt>
                <c:pt idx="34">
                  <c:v>0.7305477397134853</c:v>
                </c:pt>
                <c:pt idx="35">
                  <c:v>0.74431176263813381</c:v>
                </c:pt>
                <c:pt idx="36">
                  <c:v>0.75239617223906707</c:v>
                </c:pt>
                <c:pt idx="37">
                  <c:v>0.76843997813783893</c:v>
                </c:pt>
                <c:pt idx="38">
                  <c:v>0.78236819976274607</c:v>
                </c:pt>
                <c:pt idx="39">
                  <c:v>0.78600254452594831</c:v>
                </c:pt>
                <c:pt idx="40">
                  <c:v>0.78873316146844008</c:v>
                </c:pt>
                <c:pt idx="41">
                  <c:v>0.94031909477526632</c:v>
                </c:pt>
                <c:pt idx="42">
                  <c:v>0.9518928511129815</c:v>
                </c:pt>
                <c:pt idx="43">
                  <c:v>1.0602358228243387</c:v>
                </c:pt>
                <c:pt idx="44">
                  <c:v>1.0632027088001599</c:v>
                </c:pt>
                <c:pt idx="45">
                  <c:v>1.0796758772893746</c:v>
                </c:pt>
              </c:numCache>
            </c:numRef>
          </c:xVal>
          <c:yVal>
            <c:numRef>
              <c:f>'Olah Semivariogram'!$AD$12:$AD$57</c:f>
              <c:numCache>
                <c:formatCode>00,000</c:formatCode>
                <c:ptCount val="46"/>
                <c:pt idx="0" formatCode="0">
                  <c:v>0</c:v>
                </c:pt>
                <c:pt idx="1">
                  <c:v>7.999999999999996E-2</c:v>
                </c:pt>
                <c:pt idx="2">
                  <c:v>0.97999999999999987</c:v>
                </c:pt>
                <c:pt idx="3">
                  <c:v>8.000000000000014E-2</c:v>
                </c:pt>
                <c:pt idx="4">
                  <c:v>0.84499999999999975</c:v>
                </c:pt>
                <c:pt idx="5">
                  <c:v>5.0000000000000088E-3</c:v>
                </c:pt>
                <c:pt idx="6">
                  <c:v>1.4450000000000003</c:v>
                </c:pt>
                <c:pt idx="7">
                  <c:v>4.5000000000000082E-2</c:v>
                </c:pt>
                <c:pt idx="8">
                  <c:v>0.125</c:v>
                </c:pt>
                <c:pt idx="9">
                  <c:v>0.5</c:v>
                </c:pt>
                <c:pt idx="10">
                  <c:v>4.499999999999995E-2</c:v>
                </c:pt>
                <c:pt idx="11">
                  <c:v>0.125</c:v>
                </c:pt>
                <c:pt idx="12">
                  <c:v>2.6449999999999996</c:v>
                </c:pt>
                <c:pt idx="13">
                  <c:v>0.40499999999999992</c:v>
                </c:pt>
                <c:pt idx="14">
                  <c:v>0.24500000000000013</c:v>
                </c:pt>
                <c:pt idx="15">
                  <c:v>1.6199999999999997</c:v>
                </c:pt>
                <c:pt idx="16">
                  <c:v>4.9999999999999645E-3</c:v>
                </c:pt>
                <c:pt idx="17">
                  <c:v>7.999999999999996E-2</c:v>
                </c:pt>
                <c:pt idx="18">
                  <c:v>0.5</c:v>
                </c:pt>
                <c:pt idx="19">
                  <c:v>7.999999999999996E-2</c:v>
                </c:pt>
                <c:pt idx="20">
                  <c:v>0.1799999999999998</c:v>
                </c:pt>
                <c:pt idx="21">
                  <c:v>0.125</c:v>
                </c:pt>
                <c:pt idx="22">
                  <c:v>0.5</c:v>
                </c:pt>
                <c:pt idx="23">
                  <c:v>8.000000000000014E-2</c:v>
                </c:pt>
                <c:pt idx="24">
                  <c:v>0.32000000000000023</c:v>
                </c:pt>
                <c:pt idx="25">
                  <c:v>0.84499999999999975</c:v>
                </c:pt>
                <c:pt idx="26">
                  <c:v>0</c:v>
                </c:pt>
                <c:pt idx="27">
                  <c:v>7.999999999999996E-2</c:v>
                </c:pt>
                <c:pt idx="28">
                  <c:v>5.0000000000000088E-3</c:v>
                </c:pt>
                <c:pt idx="29">
                  <c:v>8.000000000000014E-2</c:v>
                </c:pt>
                <c:pt idx="30">
                  <c:v>0.125</c:v>
                </c:pt>
                <c:pt idx="31">
                  <c:v>0.84499999999999975</c:v>
                </c:pt>
                <c:pt idx="32">
                  <c:v>0</c:v>
                </c:pt>
                <c:pt idx="33">
                  <c:v>0.40499999999999992</c:v>
                </c:pt>
                <c:pt idx="34">
                  <c:v>0.40499999999999992</c:v>
                </c:pt>
                <c:pt idx="35">
                  <c:v>5.0000000000000088E-3</c:v>
                </c:pt>
                <c:pt idx="36">
                  <c:v>4.499999999999995E-2</c:v>
                </c:pt>
                <c:pt idx="37">
                  <c:v>0.84499999999999975</c:v>
                </c:pt>
                <c:pt idx="38">
                  <c:v>5.0000000000000088E-3</c:v>
                </c:pt>
                <c:pt idx="39">
                  <c:v>0.125</c:v>
                </c:pt>
                <c:pt idx="40">
                  <c:v>0.31999999999999984</c:v>
                </c:pt>
                <c:pt idx="41">
                  <c:v>0.5</c:v>
                </c:pt>
                <c:pt idx="42">
                  <c:v>0.97999999999999987</c:v>
                </c:pt>
                <c:pt idx="43">
                  <c:v>4.499999999999995E-2</c:v>
                </c:pt>
                <c:pt idx="44">
                  <c:v>0</c:v>
                </c:pt>
                <c:pt idx="45">
                  <c:v>7.999999999999996E-2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20-4BFB-BFEC-593240BDA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978800"/>
        <c:axId val="42597921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'Olah Semivariogram'!$AE$2</c15:sqref>
                        </c15:formulaRef>
                      </c:ext>
                    </c:extLst>
                    <c:strCache>
                      <c:ptCount val="1"/>
                      <c:pt idx="0">
                        <c:v>rata-rata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'Olah Semivariogram'!$AF$3:$AF$57</c15:sqref>
                        </c15:formulaRef>
                      </c:ext>
                    </c:extLst>
                    <c:numCache>
                      <c:formatCode>00,000</c:formatCode>
                      <c:ptCount val="55"/>
                      <c:pt idx="0">
                        <c:v>0.1</c:v>
                      </c:pt>
                      <c:pt idx="17">
                        <c:v>0.3</c:v>
                      </c:pt>
                      <c:pt idx="24">
                        <c:v>0.5</c:v>
                      </c:pt>
                      <c:pt idx="34">
                        <c:v>0.7</c:v>
                      </c:pt>
                      <c:pt idx="50">
                        <c:v>0.9</c:v>
                      </c:pt>
                      <c:pt idx="52">
                        <c:v>1.1000000000000001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'Olah Semivariogram'!$AE$3:$AE$57</c15:sqref>
                        </c15:formulaRef>
                      </c:ext>
                    </c:extLst>
                    <c:numCache>
                      <c:formatCode>0.0000</c:formatCode>
                      <c:ptCount val="55"/>
                      <c:pt idx="0">
                        <c:v>0.20470588235294118</c:v>
                      </c:pt>
                      <c:pt idx="17">
                        <c:v>0.34303186412795156</c:v>
                      </c:pt>
                      <c:pt idx="24">
                        <c:v>0.46090662319660441</c:v>
                      </c:pt>
                      <c:pt idx="34">
                        <c:v>0.72346103560837949</c:v>
                      </c:pt>
                      <c:pt idx="50">
                        <c:v>0.94610597294412391</c:v>
                      </c:pt>
                      <c:pt idx="52">
                        <c:v>1.067704802971291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89E6-4E81-A1DE-711918A0ED23}"/>
                  </c:ext>
                </c:extLst>
              </c15:ser>
            </c15:filteredScatterSeries>
          </c:ext>
        </c:extLst>
      </c:scatterChart>
      <c:valAx>
        <c:axId val="4259788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79216"/>
        <c:crosses val="autoZero"/>
        <c:crossBetween val="midCat"/>
      </c:valAx>
      <c:valAx>
        <c:axId val="425979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78800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446511190931067"/>
          <c:y val="3.2407534065437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Data Kekuatan gempa bumi</c:v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'Olah Semivariogram'!$B$5:$B$14</c:f>
              <c:numCache>
                <c:formatCode>[$-13809]dd/mm/yyyy;@</c:formatCode>
                <c:ptCount val="10"/>
                <c:pt idx="0">
                  <c:v>44201</c:v>
                </c:pt>
                <c:pt idx="1">
                  <c:v>44203</c:v>
                </c:pt>
                <c:pt idx="2">
                  <c:v>44207</c:v>
                </c:pt>
                <c:pt idx="3">
                  <c:v>44215</c:v>
                </c:pt>
                <c:pt idx="4">
                  <c:v>44215</c:v>
                </c:pt>
                <c:pt idx="5">
                  <c:v>44216</c:v>
                </c:pt>
                <c:pt idx="6">
                  <c:v>44221</c:v>
                </c:pt>
                <c:pt idx="7" formatCode="m/d/yyyy">
                  <c:v>44247</c:v>
                </c:pt>
                <c:pt idx="8">
                  <c:v>44248</c:v>
                </c:pt>
                <c:pt idx="9">
                  <c:v>44248</c:v>
                </c:pt>
              </c:numCache>
            </c:numRef>
          </c:cat>
          <c:val>
            <c:numRef>
              <c:f>'Olah Semivariogram'!$G$5:$G$14</c:f>
              <c:numCache>
                <c:formatCode>0.0</c:formatCode>
                <c:ptCount val="10"/>
                <c:pt idx="0">
                  <c:v>3.2</c:v>
                </c:pt>
                <c:pt idx="1">
                  <c:v>2.7</c:v>
                </c:pt>
                <c:pt idx="2">
                  <c:v>3.2</c:v>
                </c:pt>
                <c:pt idx="3">
                  <c:v>3.2</c:v>
                </c:pt>
                <c:pt idx="4">
                  <c:v>2.2000000000000002</c:v>
                </c:pt>
                <c:pt idx="5">
                  <c:v>3.6</c:v>
                </c:pt>
                <c:pt idx="6">
                  <c:v>3.1</c:v>
                </c:pt>
                <c:pt idx="7">
                  <c:v>3.5</c:v>
                </c:pt>
                <c:pt idx="8">
                  <c:v>4.5</c:v>
                </c:pt>
                <c:pt idx="9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7-40A5-A933-37B4FB9F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137920"/>
        <c:axId val="432138336"/>
      </c:barChart>
      <c:dateAx>
        <c:axId val="43213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13809]dd/mm/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38336"/>
        <c:crosses val="autoZero"/>
        <c:auto val="1"/>
        <c:lblOffset val="100"/>
        <c:baseTimeUnit val="days"/>
      </c:dateAx>
      <c:valAx>
        <c:axId val="4321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3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semivariogram tanpa binning data</a:t>
            </a:r>
          </a:p>
        </c:rich>
      </c:tx>
      <c:layout>
        <c:manualLayout>
          <c:xMode val="edge"/>
          <c:yMode val="edge"/>
          <c:x val="0.2302238040237185"/>
          <c:y val="3.2218473425992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spherical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'Olah Semivariogram'!$AN$68:$AN$74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1.1000000000000001</c:v>
                </c:pt>
              </c:numCache>
            </c:numRef>
          </c:xVal>
          <c:yVal>
            <c:numRef>
              <c:f>'Olah Semivariogram'!$AP$68:$AP$74</c:f>
              <c:numCache>
                <c:formatCode>General</c:formatCode>
                <c:ptCount val="7"/>
                <c:pt idx="0">
                  <c:v>0</c:v>
                </c:pt>
                <c:pt idx="1">
                  <c:v>0.28004736799146074</c:v>
                </c:pt>
                <c:pt idx="2">
                  <c:v>0.53738819263226245</c:v>
                </c:pt>
                <c:pt idx="3">
                  <c:v>0.74931593057174606</c:v>
                </c:pt>
                <c:pt idx="4">
                  <c:v>0.89312403845925314</c:v>
                </c:pt>
                <c:pt idx="5">
                  <c:v>0.94610597294412391</c:v>
                </c:pt>
                <c:pt idx="6">
                  <c:v>0.94610597294412391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00-4911-A34E-26A4BB431D7A}"/>
            </c:ext>
          </c:extLst>
        </c:ser>
        <c:ser>
          <c:idx val="2"/>
          <c:order val="2"/>
          <c:tx>
            <c:v>exponential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'Olah Semivariogram'!$AN$68:$AN$74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1.1000000000000001</c:v>
                </c:pt>
              </c:numCache>
            </c:numRef>
          </c:xVal>
          <c:yVal>
            <c:numRef>
              <c:f>'Olah Semivariogram'!$AQ$68:$AQ$74</c:f>
              <c:numCache>
                <c:formatCode>General</c:formatCode>
                <c:ptCount val="7"/>
                <c:pt idx="0">
                  <c:v>0</c:v>
                </c:pt>
                <c:pt idx="1">
                  <c:v>0.17149991722400465</c:v>
                </c:pt>
                <c:pt idx="2">
                  <c:v>0.31191217360562545</c:v>
                </c:pt>
                <c:pt idx="3">
                  <c:v>0.42687200601432862</c:v>
                </c:pt>
                <c:pt idx="4">
                  <c:v>0.52099315617602471</c:v>
                </c:pt>
                <c:pt idx="5">
                  <c:v>0.59805303632847584</c:v>
                </c:pt>
                <c:pt idx="6">
                  <c:v>0.66114433003779127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00-4911-A34E-26A4BB431D7A}"/>
            </c:ext>
          </c:extLst>
        </c:ser>
        <c:ser>
          <c:idx val="3"/>
          <c:order val="3"/>
          <c:tx>
            <c:v>gaussian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'Olah Semivariogram'!$AN$68:$AN$74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1.1000000000000001</c:v>
                </c:pt>
              </c:numCache>
            </c:numRef>
          </c:xVal>
          <c:yVal>
            <c:numRef>
              <c:f>'Olah Semivariogram'!$AR$68:$AR$74</c:f>
              <c:numCache>
                <c:formatCode>General</c:formatCode>
                <c:ptCount val="7"/>
                <c:pt idx="0">
                  <c:v>0</c:v>
                </c:pt>
                <c:pt idx="1">
                  <c:v>3.7097345820476052E-2</c:v>
                </c:pt>
                <c:pt idx="2">
                  <c:v>0.13988764439595433</c:v>
                </c:pt>
                <c:pt idx="3">
                  <c:v>0.28603023366660923</c:v>
                </c:pt>
                <c:pt idx="4">
                  <c:v>0.4472314610688099</c:v>
                </c:pt>
                <c:pt idx="5">
                  <c:v>0.59805303632847584</c:v>
                </c:pt>
                <c:pt idx="6">
                  <c:v>0.72194720529870449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00-4911-A34E-26A4BB431D7A}"/>
            </c:ext>
          </c:extLst>
        </c:ser>
        <c:ser>
          <c:idx val="4"/>
          <c:order val="4"/>
          <c:tx>
            <c:strRef>
              <c:f>'Olah Semivariogram'!$AO$67</c:f>
              <c:strCache>
                <c:ptCount val="1"/>
                <c:pt idx="0">
                  <c:v>rata-rata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'Olah Semivariogram'!$AN$68:$AN$74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0.9</c:v>
                </c:pt>
                <c:pt idx="6">
                  <c:v>1.1000000000000001</c:v>
                </c:pt>
              </c:numCache>
            </c:numRef>
          </c:xVal>
          <c:yVal>
            <c:numRef>
              <c:f>'Olah Semivariogram'!$AO$68:$AO$74</c:f>
              <c:numCache>
                <c:formatCode>General</c:formatCode>
                <c:ptCount val="7"/>
                <c:pt idx="0">
                  <c:v>0</c:v>
                </c:pt>
                <c:pt idx="1">
                  <c:v>0.20470588235294118</c:v>
                </c:pt>
                <c:pt idx="2">
                  <c:v>0.34303186412795156</c:v>
                </c:pt>
                <c:pt idx="3">
                  <c:v>0.46090662319660441</c:v>
                </c:pt>
                <c:pt idx="4">
                  <c:v>0.72346103560837949</c:v>
                </c:pt>
                <c:pt idx="5">
                  <c:v>0.94610597294412391</c:v>
                </c:pt>
                <c:pt idx="6">
                  <c:v>1.067704802971291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A00-4911-A34E-26A4BB43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953631"/>
        <c:axId val="189795487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semivariogram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'Olah Semivariogram'!$AK$3:$AK$12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0.11996398636548608</c:v>
                      </c:pt>
                      <c:pt idx="2">
                        <c:v>0.23992797273097213</c:v>
                      </c:pt>
                      <c:pt idx="3">
                        <c:v>0.35989195909645821</c:v>
                      </c:pt>
                      <c:pt idx="4">
                        <c:v>0.47985594546194427</c:v>
                      </c:pt>
                      <c:pt idx="5">
                        <c:v>0.59981993182743032</c:v>
                      </c:pt>
                      <c:pt idx="6">
                        <c:v>0.71978391819291643</c:v>
                      </c:pt>
                      <c:pt idx="7">
                        <c:v>0.83974790455840242</c:v>
                      </c:pt>
                      <c:pt idx="8">
                        <c:v>0.95971189092388853</c:v>
                      </c:pt>
                      <c:pt idx="9">
                        <c:v>1.0796758772893746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'Olah Semivariogram'!$AN$3:$AN$12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0.57250000000000001</c:v>
                      </c:pt>
                      <c:pt idx="2">
                        <c:v>8.5000000000000048E-2</c:v>
                      </c:pt>
                      <c:pt idx="3">
                        <c:v>0.61699999999999988</c:v>
                      </c:pt>
                      <c:pt idx="4">
                        <c:v>0.22124999999999995</c:v>
                      </c:pt>
                      <c:pt idx="5">
                        <c:v>0.26500000000000001</c:v>
                      </c:pt>
                      <c:pt idx="6">
                        <c:v>0.27599999999999997</c:v>
                      </c:pt>
                      <c:pt idx="7">
                        <c:v>0.14999999999999994</c:v>
                      </c:pt>
                      <c:pt idx="8">
                        <c:v>0.74</c:v>
                      </c:pt>
                      <c:pt idx="9">
                        <c:v>4.1666666666666637E-2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A00-4911-A34E-26A4BB431D7A}"/>
                  </c:ext>
                </c:extLst>
              </c15:ser>
            </c15:filteredScatterSeries>
          </c:ext>
        </c:extLst>
      </c:scatterChart>
      <c:valAx>
        <c:axId val="189795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lag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54879"/>
        <c:crosses val="autoZero"/>
        <c:crossBetween val="midCat"/>
      </c:valAx>
      <c:valAx>
        <c:axId val="18979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semivariance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5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114299</xdr:colOff>
      <xdr:row>11</xdr:row>
      <xdr:rowOff>13758</xdr:rowOff>
    </xdr:from>
    <xdr:ext cx="1960035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CCDFA90-83DF-460D-872F-3E50BDD8A87A}"/>
                </a:ext>
              </a:extLst>
            </xdr:cNvPr>
            <xdr:cNvSpPr txBox="1"/>
          </xdr:nvSpPr>
          <xdr:spPr>
            <a:xfrm>
              <a:off x="6633632" y="2109258"/>
              <a:ext cx="1960035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ID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CCDFA90-83DF-460D-872F-3E50BDD8A87A}"/>
                </a:ext>
              </a:extLst>
            </xdr:cNvPr>
            <xdr:cNvSpPr txBox="1"/>
          </xdr:nvSpPr>
          <xdr:spPr>
            <a:xfrm>
              <a:off x="6633632" y="2109258"/>
              <a:ext cx="1960035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𝑑=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1−𝑥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2)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2+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(𝑦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1−𝑦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2)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en-ID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ID" sz="1100"/>
            </a:p>
          </xdr:txBody>
        </xdr:sp>
      </mc:Fallback>
    </mc:AlternateContent>
    <xdr:clientData/>
  </xdr:oneCellAnchor>
  <xdr:twoCellAnchor>
    <xdr:from>
      <xdr:col>37</xdr:col>
      <xdr:colOff>928685</xdr:colOff>
      <xdr:row>18</xdr:row>
      <xdr:rowOff>104774</xdr:rowOff>
    </xdr:from>
    <xdr:to>
      <xdr:col>45</xdr:col>
      <xdr:colOff>0</xdr:colOff>
      <xdr:row>33</xdr:row>
      <xdr:rowOff>107155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C0848F5-1395-453D-B655-18B1C1653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35718</xdr:colOff>
      <xdr:row>23</xdr:row>
      <xdr:rowOff>107156</xdr:rowOff>
    </xdr:from>
    <xdr:to>
      <xdr:col>35</xdr:col>
      <xdr:colOff>814386</xdr:colOff>
      <xdr:row>27</xdr:row>
      <xdr:rowOff>21431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49A7BDF-CAD2-4D08-ABCE-18307BB98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48093" y="3345656"/>
          <a:ext cx="2564606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59532</xdr:colOff>
      <xdr:row>31</xdr:row>
      <xdr:rowOff>59530</xdr:rowOff>
    </xdr:from>
    <xdr:to>
      <xdr:col>35</xdr:col>
      <xdr:colOff>831859</xdr:colOff>
      <xdr:row>33</xdr:row>
      <xdr:rowOff>130967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A46EAE3-DEA5-4AE2-96B7-AA9FC9C5C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71907" y="4822030"/>
          <a:ext cx="2558265" cy="452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47625</xdr:colOff>
      <xdr:row>36</xdr:row>
      <xdr:rowOff>178593</xdr:rowOff>
    </xdr:from>
    <xdr:to>
      <xdr:col>35</xdr:col>
      <xdr:colOff>880717</xdr:colOff>
      <xdr:row>39</xdr:row>
      <xdr:rowOff>166687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F931EA3-967F-4910-8DC5-58459216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0" y="5893593"/>
          <a:ext cx="2619030" cy="559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0</xdr:colOff>
      <xdr:row>31</xdr:row>
      <xdr:rowOff>188119</xdr:rowOff>
    </xdr:from>
    <xdr:to>
      <xdr:col>44</xdr:col>
      <xdr:colOff>881061</xdr:colOff>
      <xdr:row>47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CB3214-8FC1-4B24-8C2B-E32CE4747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214314</xdr:colOff>
      <xdr:row>17</xdr:row>
      <xdr:rowOff>0</xdr:rowOff>
    </xdr:from>
    <xdr:to>
      <xdr:col>10</xdr:col>
      <xdr:colOff>583407</xdr:colOff>
      <xdr:row>29</xdr:row>
      <xdr:rowOff>11906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76B2B3-3812-454F-BDDE-AC3B98E30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47625</xdr:colOff>
      <xdr:row>15</xdr:row>
      <xdr:rowOff>119062</xdr:rowOff>
    </xdr:from>
    <xdr:to>
      <xdr:col>36</xdr:col>
      <xdr:colOff>153630</xdr:colOff>
      <xdr:row>19</xdr:row>
      <xdr:rowOff>35719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E099D9-6789-4DE5-A51B-1A37C6AA4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0" y="2976562"/>
          <a:ext cx="3094474" cy="678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0</xdr:colOff>
      <xdr:row>49</xdr:row>
      <xdr:rowOff>0</xdr:rowOff>
    </xdr:from>
    <xdr:to>
      <xdr:col>45</xdr:col>
      <xdr:colOff>3</xdr:colOff>
      <xdr:row>64</xdr:row>
      <xdr:rowOff>2381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B91816A-E0D3-49EC-845E-7CC1855E6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26195</xdr:colOff>
      <xdr:row>14</xdr:row>
      <xdr:rowOff>109537</xdr:rowOff>
    </xdr:from>
    <xdr:to>
      <xdr:col>20</xdr:col>
      <xdr:colOff>21433</xdr:colOff>
      <xdr:row>18</xdr:row>
      <xdr:rowOff>23812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D4E03-AD64-4050-9EEB-DF4472FC5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7633" y="2776537"/>
          <a:ext cx="3031331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52</xdr:col>
      <xdr:colOff>226218</xdr:colOff>
      <xdr:row>17</xdr:row>
      <xdr:rowOff>178594</xdr:rowOff>
    </xdr:from>
    <xdr:to>
      <xdr:col>55</xdr:col>
      <xdr:colOff>250031</xdr:colOff>
      <xdr:row>20</xdr:row>
      <xdr:rowOff>121444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78E58C-D6C3-48B8-8ED7-CD2313462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8968" y="3417094"/>
          <a:ext cx="1988344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52</xdr:col>
      <xdr:colOff>226219</xdr:colOff>
      <xdr:row>14</xdr:row>
      <xdr:rowOff>23812</xdr:rowOff>
    </xdr:from>
    <xdr:to>
      <xdr:col>54</xdr:col>
      <xdr:colOff>66675</xdr:colOff>
      <xdr:row>16</xdr:row>
      <xdr:rowOff>157162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926C4D-6A2F-4BB7-A6C4-4A858250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8969" y="2690812"/>
          <a:ext cx="1197769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-1</xdr:colOff>
      <xdr:row>19</xdr:row>
      <xdr:rowOff>190499</xdr:rowOff>
    </xdr:from>
    <xdr:to>
      <xdr:col>19</xdr:col>
      <xdr:colOff>523873</xdr:colOff>
      <xdr:row>22</xdr:row>
      <xdr:rowOff>143932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E45C91-5C50-4EE7-AFB7-636D8CE6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1437" y="3809999"/>
          <a:ext cx="2952749" cy="524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35718</xdr:colOff>
      <xdr:row>24</xdr:row>
      <xdr:rowOff>178594</xdr:rowOff>
    </xdr:from>
    <xdr:to>
      <xdr:col>19</xdr:col>
      <xdr:colOff>447018</xdr:colOff>
      <xdr:row>28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5B631D0-9080-4F94-B16A-A92EE58DA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7156" y="4750594"/>
          <a:ext cx="2840175" cy="67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3"/>
  <sheetViews>
    <sheetView tabSelected="1" topLeftCell="AE33" zoomScale="80" zoomScaleNormal="80" workbookViewId="0">
      <selection activeCell="AD13" sqref="AD13"/>
    </sheetView>
  </sheetViews>
  <sheetFormatPr defaultColWidth="9" defaultRowHeight="15"/>
  <cols>
    <col min="1" max="1" width="6.85546875" style="1" customWidth="1"/>
    <col min="2" max="2" width="14.140625" style="1" customWidth="1"/>
    <col min="3" max="3" width="10.28515625" style="2" customWidth="1"/>
    <col min="4" max="4" width="11.5703125" style="2" customWidth="1"/>
    <col min="5" max="5" width="15.7109375" style="1" customWidth="1"/>
    <col min="6" max="6" width="14.85546875" style="2" customWidth="1"/>
    <col min="7" max="7" width="14.42578125" customWidth="1"/>
    <col min="8" max="8" width="14.140625" customWidth="1"/>
    <col min="9" max="9" width="27.140625" customWidth="1"/>
    <col min="13" max="13" width="8.28515625" customWidth="1"/>
    <col min="14" max="14" width="11.5703125" customWidth="1"/>
    <col min="16" max="16" width="9.28515625" customWidth="1"/>
    <col min="17" max="17" width="13.5703125" customWidth="1"/>
    <col min="18" max="18" width="14.28515625" customWidth="1"/>
    <col min="19" max="19" width="9" customWidth="1"/>
    <col min="20" max="20" width="9.140625" customWidth="1"/>
    <col min="28" max="28" width="9" customWidth="1"/>
    <col min="30" max="32" width="13" customWidth="1"/>
    <col min="33" max="33" width="12.5703125" customWidth="1"/>
    <col min="34" max="34" width="12.140625" customWidth="1"/>
    <col min="35" max="35" width="17.5703125" customWidth="1"/>
    <col min="36" max="36" width="15.140625" customWidth="1"/>
    <col min="37" max="37" width="13.42578125" customWidth="1"/>
    <col min="38" max="38" width="13.85546875" customWidth="1"/>
    <col min="39" max="39" width="12.42578125" customWidth="1"/>
    <col min="40" max="40" width="13" customWidth="1"/>
    <col min="41" max="41" width="11.85546875" customWidth="1"/>
    <col min="42" max="42" width="13.7109375" customWidth="1"/>
    <col min="43" max="43" width="14" customWidth="1"/>
    <col min="44" max="44" width="13.140625" customWidth="1"/>
    <col min="45" max="45" width="16.140625" customWidth="1"/>
    <col min="46" max="46" width="19.5703125" customWidth="1"/>
    <col min="47" max="47" width="15.85546875" customWidth="1"/>
    <col min="48" max="48" width="18.140625" customWidth="1"/>
    <col min="49" max="49" width="16.5703125" customWidth="1"/>
    <col min="50" max="50" width="15.85546875" customWidth="1"/>
    <col min="51" max="51" width="13.42578125" customWidth="1"/>
    <col min="52" max="52" width="14.7109375" customWidth="1"/>
  </cols>
  <sheetData>
    <row r="1" spans="1:48">
      <c r="I1" s="131" t="s">
        <v>7</v>
      </c>
      <c r="J1" s="131"/>
      <c r="K1" s="131"/>
      <c r="L1" s="26"/>
      <c r="AH1" s="19" t="s">
        <v>37</v>
      </c>
      <c r="AI1" s="23"/>
    </row>
    <row r="2" spans="1:48">
      <c r="A2" s="127" t="s">
        <v>6</v>
      </c>
      <c r="B2" s="127"/>
      <c r="C2" s="127"/>
      <c r="D2" s="127"/>
      <c r="E2" s="127"/>
      <c r="F2" s="127"/>
      <c r="G2" s="127"/>
      <c r="I2" s="131"/>
      <c r="J2" s="131"/>
      <c r="K2" s="131"/>
      <c r="N2" s="31">
        <v>3.2</v>
      </c>
      <c r="O2" s="31">
        <v>2.7</v>
      </c>
      <c r="P2" s="31">
        <v>3.2</v>
      </c>
      <c r="Q2" s="31">
        <v>3.2</v>
      </c>
      <c r="R2" s="31">
        <v>2.2000000000000002</v>
      </c>
      <c r="S2" s="31">
        <v>3.6</v>
      </c>
      <c r="T2" s="31">
        <v>3.1</v>
      </c>
      <c r="U2" s="31">
        <v>3.5</v>
      </c>
      <c r="V2" s="31">
        <v>4.5</v>
      </c>
      <c r="W2" s="32">
        <v>2.8</v>
      </c>
      <c r="Z2" s="19" t="s">
        <v>23</v>
      </c>
      <c r="AA2" s="19" t="s">
        <v>24</v>
      </c>
      <c r="AB2" s="19" t="s">
        <v>25</v>
      </c>
      <c r="AC2" s="19" t="s">
        <v>26</v>
      </c>
      <c r="AD2" s="19" t="s">
        <v>43</v>
      </c>
      <c r="AE2" s="116" t="s">
        <v>68</v>
      </c>
      <c r="AF2" s="116"/>
      <c r="AH2" s="21" t="s">
        <v>38</v>
      </c>
      <c r="AI2" s="21" t="s">
        <v>39</v>
      </c>
      <c r="AJ2" s="21" t="s">
        <v>40</v>
      </c>
      <c r="AK2" s="21" t="s">
        <v>41</v>
      </c>
      <c r="AL2" s="122" t="s">
        <v>42</v>
      </c>
      <c r="AM2" s="124"/>
      <c r="AN2" s="21" t="s">
        <v>43</v>
      </c>
      <c r="AP2" s="21" t="s">
        <v>44</v>
      </c>
      <c r="AQ2" s="21" t="s">
        <v>45</v>
      </c>
      <c r="AR2" s="21" t="s">
        <v>46</v>
      </c>
      <c r="AS2" s="21" t="s">
        <v>50</v>
      </c>
      <c r="AT2" s="21" t="s">
        <v>51</v>
      </c>
      <c r="AU2" s="21" t="s">
        <v>52</v>
      </c>
    </row>
    <row r="3" spans="1:48">
      <c r="A3" s="125" t="s">
        <v>8</v>
      </c>
      <c r="B3" s="129" t="s">
        <v>0</v>
      </c>
      <c r="C3" s="129" t="s">
        <v>1</v>
      </c>
      <c r="D3" s="128" t="s">
        <v>2</v>
      </c>
      <c r="E3" s="128" t="s">
        <v>3</v>
      </c>
      <c r="F3" s="130" t="s">
        <v>4</v>
      </c>
      <c r="G3" s="128" t="s">
        <v>5</v>
      </c>
      <c r="I3" s="9" t="s">
        <v>10</v>
      </c>
      <c r="J3">
        <f>COUNTA(B5:B143)</f>
        <v>139</v>
      </c>
      <c r="L3" s="11"/>
      <c r="M3" s="21" t="s">
        <v>12</v>
      </c>
      <c r="N3" s="12">
        <v>1</v>
      </c>
      <c r="O3" s="12">
        <v>2</v>
      </c>
      <c r="P3" s="12">
        <v>3</v>
      </c>
      <c r="Q3" s="12">
        <v>4</v>
      </c>
      <c r="R3" s="12">
        <v>5</v>
      </c>
      <c r="S3" s="12">
        <v>6</v>
      </c>
      <c r="T3" s="12">
        <v>7</v>
      </c>
      <c r="U3" s="12">
        <v>8</v>
      </c>
      <c r="V3" s="12">
        <v>9</v>
      </c>
      <c r="W3" s="12">
        <v>10</v>
      </c>
      <c r="X3" s="91"/>
      <c r="Y3" s="9" t="s">
        <v>27</v>
      </c>
      <c r="Z3" s="54">
        <v>3.2</v>
      </c>
      <c r="AA3" s="60">
        <v>3.2</v>
      </c>
      <c r="AB3" s="46">
        <v>0</v>
      </c>
      <c r="AC3" s="46">
        <f t="shared" ref="AC3:AC34" si="0">(Z3-AA3)^2</f>
        <v>0</v>
      </c>
      <c r="AD3" s="58">
        <f t="shared" ref="AD3:AD12" si="1">AC3/20</f>
        <v>0</v>
      </c>
      <c r="AE3" s="136">
        <f>AVERAGE(AD3:AD19)</f>
        <v>0.20470588235294118</v>
      </c>
      <c r="AF3" s="140">
        <v>0.1</v>
      </c>
      <c r="AH3" s="8">
        <v>1</v>
      </c>
      <c r="AI3" s="8">
        <f>COUNT(Z3:Z12)</f>
        <v>10</v>
      </c>
      <c r="AJ3" s="34">
        <f>SUM(AC3:AC12)</f>
        <v>0</v>
      </c>
      <c r="AK3" s="8">
        <v>0</v>
      </c>
      <c r="AL3" s="8">
        <v>0</v>
      </c>
      <c r="AM3" s="8">
        <v>0</v>
      </c>
      <c r="AN3" s="8">
        <v>0</v>
      </c>
      <c r="AP3" s="8">
        <v>0</v>
      </c>
      <c r="AQ3" s="8">
        <v>0</v>
      </c>
      <c r="AR3" s="8">
        <v>0</v>
      </c>
      <c r="AS3" s="36">
        <v>0</v>
      </c>
      <c r="AT3" s="36">
        <v>0</v>
      </c>
      <c r="AU3" s="36">
        <v>0</v>
      </c>
    </row>
    <row r="4" spans="1:48">
      <c r="A4" s="126"/>
      <c r="B4" s="129"/>
      <c r="C4" s="129"/>
      <c r="D4" s="128"/>
      <c r="E4" s="128"/>
      <c r="F4" s="129"/>
      <c r="G4" s="128"/>
      <c r="I4" s="10" t="s">
        <v>9</v>
      </c>
      <c r="J4">
        <f>(J3*(J3-1))/2</f>
        <v>9591</v>
      </c>
      <c r="L4" s="31">
        <v>3.2</v>
      </c>
      <c r="M4" s="12">
        <v>1</v>
      </c>
      <c r="N4" s="24">
        <f>SQRT(('Olah Semivariogram'!$D$5-'Olah Semivariogram'!D5)^2+('Olah Semivariogram'!$E$5-'Olah Semivariogram'!E5)^2)</f>
        <v>0</v>
      </c>
      <c r="O4" s="24">
        <f>SQRT(('Olah Semivariogram'!$D$6-'Olah Semivariogram'!D5)^2+('Olah Semivariogram'!$E$6-'Olah Semivariogram'!E5)^2)</f>
        <v>0.45276925690687242</v>
      </c>
      <c r="P4" s="24">
        <f>SQRT(('Olah Semivariogram'!$D$7-'Olah Semivariogram'!D5)^2+('Olah Semivariogram'!$E$7-'Olah Semivariogram'!E5)^2)</f>
        <v>0.72801098892805338</v>
      </c>
      <c r="Q4" s="24">
        <f>SQRT(('Olah Semivariogram'!$D$8-'Olah Semivariogram'!D5)^2+('Olah Semivariogram'!$E$8-'Olah Semivariogram'!E5)^2)</f>
        <v>0.65513357416636986</v>
      </c>
      <c r="R4" s="24">
        <f>SQRT(('Olah Semivariogram'!$D$9-'Olah Semivariogram'!D5)^2+('Olah Semivariogram'!$E$9-'Olah Semivariogram'!E5)^2)</f>
        <v>0.45276925690698211</v>
      </c>
      <c r="S4" s="24">
        <f>SQRT(('Olah Semivariogram'!$D$10-'Olah Semivariogram'!D5)^2+('Olah Semivariogram'!$E$10-'Olah Semivariogram'!E5)^2)</f>
        <v>0.65734313718263382</v>
      </c>
      <c r="T4" s="24">
        <f>SQRT(('Olah Semivariogram'!$D$11-'Olah Semivariogram'!D5)^2+('Olah Semivariogram'!$E$11-'Olah Semivariogram'!E5)^2)</f>
        <v>0.13601470508735297</v>
      </c>
      <c r="U4" s="24">
        <f>SQRT(('Olah Semivariogram'!$D$12-'Olah Semivariogram'!D5)^2+('Olah Semivariogram'!$E$12-'Olah Semivariogram'!E5)^2)</f>
        <v>0.33837848631377154</v>
      </c>
      <c r="V4" s="24">
        <f>SQRT(('Olah Semivariogram'!$D$13-'Olah Semivariogram'!D5)^2+('Olah Semivariogram'!$E$13-'Olah Semivariogram'!E5)^2)</f>
        <v>9.9639349656469492E-2</v>
      </c>
      <c r="W4" s="24">
        <f>SQRT(('Olah Semivariogram'!$D$14-'Olah Semivariogram'!D5)^2+('Olah Semivariogram'!$E$14-'Olah Semivariogram'!E5)^2)</f>
        <v>8.0000000001007265E-2</v>
      </c>
      <c r="X4" s="91"/>
      <c r="Z4" s="55">
        <v>2.7</v>
      </c>
      <c r="AA4" s="43">
        <v>2.7</v>
      </c>
      <c r="AB4" s="30">
        <v>0</v>
      </c>
      <c r="AC4" s="30">
        <f t="shared" si="0"/>
        <v>0</v>
      </c>
      <c r="AD4" s="58">
        <f t="shared" si="1"/>
        <v>0</v>
      </c>
      <c r="AE4" s="137"/>
      <c r="AF4" s="140"/>
      <c r="AH4" s="8">
        <v>2</v>
      </c>
      <c r="AI4" s="8">
        <f>COUNT(Z13:Z18)</f>
        <v>6</v>
      </c>
      <c r="AJ4" s="35">
        <f>SUM(AC13:AC18)</f>
        <v>6.87</v>
      </c>
      <c r="AK4" s="8">
        <f>MEDIAN(AL4,AM4)</f>
        <v>0.11996398636548608</v>
      </c>
      <c r="AL4" s="8">
        <v>5.9981993182743033E-2</v>
      </c>
      <c r="AM4" s="8">
        <v>0.17994597954822911</v>
      </c>
      <c r="AN4" s="8">
        <f>AJ4/(2*AI4)</f>
        <v>0.57250000000000001</v>
      </c>
      <c r="AP4" s="8">
        <f>$AN$14*(1.5*(AK4/$AN$15)-0.5*(AK4/$AN$15)^3)</f>
        <v>0.17473724489795917</v>
      </c>
      <c r="AQ4" s="8">
        <f>$AN$14*(1-EXP(-(AK4/$AN$15)))</f>
        <v>0.10416207953982079</v>
      </c>
      <c r="AR4" s="8">
        <f>$AN$14*(1-EXP(-((AK4)^2/($AN$15)^2)))</f>
        <v>3.2855021276341094E-2</v>
      </c>
      <c r="AS4" s="8">
        <f>(AP4-AN4)^2</f>
        <v>0.15821520934636613</v>
      </c>
      <c r="AT4" s="8">
        <f>(AQ4-AN4)^2</f>
        <v>0.21934040774096514</v>
      </c>
      <c r="AU4" s="8">
        <f>(AR4-AN4)^2</f>
        <v>0.29121670306165826</v>
      </c>
    </row>
    <row r="5" spans="1:48">
      <c r="A5" s="12">
        <v>1</v>
      </c>
      <c r="B5" s="13">
        <v>44201</v>
      </c>
      <c r="C5" s="14">
        <v>0.98804398148148198</v>
      </c>
      <c r="D5" s="15">
        <v>-7.47</v>
      </c>
      <c r="E5" s="15">
        <v>106.709999999999</v>
      </c>
      <c r="F5" s="16">
        <v>36</v>
      </c>
      <c r="G5" s="17">
        <v>3.2</v>
      </c>
      <c r="I5" s="10"/>
      <c r="L5" s="31">
        <v>2.7</v>
      </c>
      <c r="M5" s="12">
        <v>2</v>
      </c>
      <c r="N5" s="24">
        <f>SQRT(('Olah Semivariogram'!$D$5-'Olah Semivariogram'!D6)^2+('Olah Semivariogram'!$E$5-'Olah Semivariogram'!E6)^2)</f>
        <v>0.45276925690687242</v>
      </c>
      <c r="O5" s="24">
        <f>SQRT(('Olah Semivariogram'!$D$6-'Olah Semivariogram'!D6)^2+('Olah Semivariogram'!$E$6-'Olah Semivariogram'!E6)^2)</f>
        <v>0</v>
      </c>
      <c r="P5" s="24">
        <f>SQRT(('Olah Semivariogram'!$D$7-'Olah Semivariogram'!D6)^2+('Olah Semivariogram'!$E$7-'Olah Semivariogram'!E6)^2)</f>
        <v>0.35355339059327301</v>
      </c>
      <c r="Q5" s="24">
        <f>SQRT(('Olah Semivariogram'!$D$8-'Olah Semivariogram'!D6)^2+('Olah Semivariogram'!$E$8-'Olah Semivariogram'!E6)^2)</f>
        <v>0.71512236715124489</v>
      </c>
      <c r="R5" s="24">
        <f>SQRT(('Olah Semivariogram'!$D$9-'Olah Semivariogram'!D6)^2+('Olah Semivariogram'!$E$9-'Olah Semivariogram'!E6)^2)</f>
        <v>0.28635642126461563</v>
      </c>
      <c r="S5" s="24">
        <f>SQRT(('Olah Semivariogram'!$D$10-'Olah Semivariogram'!D6)^2+('Olah Semivariogram'!$E$10-'Olah Semivariogram'!E6)^2)</f>
        <v>0.7305477397134853</v>
      </c>
      <c r="T5" s="24">
        <f>SQRT(('Olah Semivariogram'!$D$11-'Olah Semivariogram'!D6)^2+('Olah Semivariogram'!$E$11-'Olah Semivariogram'!E6)^2)</f>
        <v>0.44777226354476307</v>
      </c>
      <c r="U5" s="24">
        <f>SQRT(('Olah Semivariogram'!$D$12-'Olah Semivariogram'!D6)^2+('Olah Semivariogram'!$E$12-'Olah Semivariogram'!E6)^2)</f>
        <v>0.78873316146844008</v>
      </c>
      <c r="V5" s="24">
        <f>SQRT(('Olah Semivariogram'!$D$13-'Olah Semivariogram'!D6)^2+('Olah Semivariogram'!$E$13-'Olah Semivariogram'!E6)^2)</f>
        <v>0.40175614494286138</v>
      </c>
      <c r="W5" s="24">
        <f>SQRT(('Olah Semivariogram'!$D$14-'Olah Semivariogram'!D6)^2+('Olah Semivariogram'!$E$14-'Olah Semivariogram'!E6)^2)</f>
        <v>0.40224370722180075</v>
      </c>
      <c r="X5" s="91"/>
      <c r="Z5" s="55">
        <v>3.2</v>
      </c>
      <c r="AA5" s="65">
        <v>3.2</v>
      </c>
      <c r="AB5" s="30">
        <v>0</v>
      </c>
      <c r="AC5" s="30">
        <f t="shared" si="0"/>
        <v>0</v>
      </c>
      <c r="AD5" s="58">
        <f t="shared" si="1"/>
        <v>0</v>
      </c>
      <c r="AE5" s="137"/>
      <c r="AF5" s="140"/>
      <c r="AH5" s="8">
        <v>3</v>
      </c>
      <c r="AI5" s="8">
        <f>COUNTA(Z19:Z20)</f>
        <v>2</v>
      </c>
      <c r="AJ5" s="35">
        <f>SUM(AC19:AC20)</f>
        <v>0.34000000000000019</v>
      </c>
      <c r="AK5" s="8">
        <f t="shared" ref="AK5:AK12" si="2">MEDIAN(AL5,AM5)</f>
        <v>0.23992797273097213</v>
      </c>
      <c r="AL5" s="8">
        <v>0.17994597954822911</v>
      </c>
      <c r="AM5" s="8">
        <v>0.29990996591371516</v>
      </c>
      <c r="AN5" s="8">
        <f t="shared" ref="AN5:AN10" si="3">AJ5/(2*AI5)</f>
        <v>8.5000000000000048E-2</v>
      </c>
      <c r="AP5" s="8">
        <f>$AN$14*(1.5*(AK5/$AN$15)-0.5*(AK5/$AN$15)^3)</f>
        <v>0.32014795918367339</v>
      </c>
      <c r="AQ5" s="8">
        <f t="shared" ref="AQ5:AQ12" si="4">$AN$14*(1-EXP(-(AK5/$AN$15)))</f>
        <v>0.1824375171134979</v>
      </c>
      <c r="AR5" s="8">
        <f t="shared" ref="AR5:AR12" si="5">$AN$14*(1-EXP(-((AK5)^2/($AN$15)^2)))</f>
        <v>0.11675888255506281</v>
      </c>
      <c r="AS5" s="8">
        <f>(AP5-AN5)^2</f>
        <v>5.5294562708246502E-2</v>
      </c>
      <c r="AT5" s="8">
        <f t="shared" ref="AT5:AT11" si="6">(AQ5-AN5)^2</f>
        <v>9.4940697412431874E-3</v>
      </c>
      <c r="AU5" s="8">
        <f t="shared" ref="AU5:AU12" si="7">(AR5-AN5)^2</f>
        <v>1.0086266211462697E-3</v>
      </c>
    </row>
    <row r="6" spans="1:48">
      <c r="A6" s="12">
        <v>2</v>
      </c>
      <c r="B6" s="13">
        <v>44203</v>
      </c>
      <c r="C6" s="14">
        <v>0.30513888888888901</v>
      </c>
      <c r="D6" s="15">
        <v>-7.14</v>
      </c>
      <c r="E6" s="15">
        <v>107.019999999999</v>
      </c>
      <c r="F6" s="16">
        <v>81</v>
      </c>
      <c r="G6" s="17">
        <v>2.7</v>
      </c>
      <c r="L6" s="31">
        <v>3.2</v>
      </c>
      <c r="M6" s="12">
        <v>3</v>
      </c>
      <c r="N6" s="24">
        <f>SQRT(('Olah Semivariogram'!$D$5-'Olah Semivariogram'!D7)^2+('Olah Semivariogram'!$E$5-'Olah Semivariogram'!E7)^2)</f>
        <v>0.72801098892805338</v>
      </c>
      <c r="O6" s="24">
        <f>SQRT(('Olah Semivariogram'!$D$6-'Olah Semivariogram'!D7)^2+('Olah Semivariogram'!$E$6-'Olah Semivariogram'!E7)^2)</f>
        <v>0.35355339059327301</v>
      </c>
      <c r="P6" s="24">
        <f>SQRT(('Olah Semivariogram'!$D$7-'Olah Semivariogram'!D7)^2+('Olah Semivariogram'!$E$7-'Olah Semivariogram'!E7)^2)</f>
        <v>0</v>
      </c>
      <c r="Q6" s="24">
        <f>SQRT(('Olah Semivariogram'!$D$8-'Olah Semivariogram'!D7)^2+('Olah Semivariogram'!$E$8-'Olah Semivariogram'!E7)^2)</f>
        <v>1.0632027088001599</v>
      </c>
      <c r="R6" s="24">
        <f>SQRT(('Olah Semivariogram'!$D$9-'Olah Semivariogram'!D7)^2+('Olah Semivariogram'!$E$9-'Olah Semivariogram'!E7)^2)</f>
        <v>0.31144823004727346</v>
      </c>
      <c r="S6" s="24">
        <f>SQRT(('Olah Semivariogram'!$D$10-'Olah Semivariogram'!D7)^2+('Olah Semivariogram'!$E$10-'Olah Semivariogram'!E7)^2)</f>
        <v>1.0796758772893746</v>
      </c>
      <c r="T6" s="24">
        <f>SQRT(('Olah Semivariogram'!$D$11-'Olah Semivariogram'!D7)^2+('Olah Semivariogram'!$E$11-'Olah Semivariogram'!E7)^2)</f>
        <v>0.66370174024180661</v>
      </c>
      <c r="U6" s="24">
        <f>SQRT(('Olah Semivariogram'!$D$12-'Olah Semivariogram'!D7)^2+('Olah Semivariogram'!$E$12-'Olah Semivariogram'!E7)^2)</f>
        <v>1.0602358228243387</v>
      </c>
      <c r="V6" s="24">
        <f>SQRT(('Olah Semivariogram'!$D$13-'Olah Semivariogram'!D7)^2+('Olah Semivariogram'!$E$13-'Olah Semivariogram'!E7)^2)</f>
        <v>0.64498682157037124</v>
      </c>
      <c r="W6" s="24">
        <f>SQRT(('Olah Semivariogram'!$D$14-'Olah Semivariogram'!D7)^2+('Olah Semivariogram'!$E$14-'Olah Semivariogram'!E7)^2)</f>
        <v>0.70342021580250225</v>
      </c>
      <c r="X6" s="91"/>
      <c r="Z6" s="55">
        <v>3.2</v>
      </c>
      <c r="AA6" s="43">
        <v>3.2</v>
      </c>
      <c r="AB6" s="30">
        <v>0</v>
      </c>
      <c r="AC6" s="30">
        <f t="shared" si="0"/>
        <v>0</v>
      </c>
      <c r="AD6" s="58">
        <f t="shared" si="1"/>
        <v>0</v>
      </c>
      <c r="AE6" s="137"/>
      <c r="AF6" s="140"/>
      <c r="AH6" s="8">
        <v>4</v>
      </c>
      <c r="AI6" s="8">
        <f>COUNT(Z21:Z30)</f>
        <v>10</v>
      </c>
      <c r="AJ6" s="35">
        <f>SUM(AC21:AC30)</f>
        <v>12.339999999999998</v>
      </c>
      <c r="AK6" s="8">
        <f t="shared" si="2"/>
        <v>0.35989195909645821</v>
      </c>
      <c r="AL6" s="8">
        <v>0.29990996591371516</v>
      </c>
      <c r="AM6" s="8">
        <v>0.41987395227920127</v>
      </c>
      <c r="AN6" s="8">
        <f>AJ6/(2*AI6)</f>
        <v>0.61699999999999988</v>
      </c>
      <c r="AP6" s="8">
        <f>$AN$14*(1.5*(AK6/$AN$15)-0.5*(AK6/$AN$15)^3)</f>
        <v>0.40690561224489791</v>
      </c>
      <c r="AQ6" s="8">
        <f t="shared" si="4"/>
        <v>0.2412597310556483</v>
      </c>
      <c r="AR6" s="8">
        <f t="shared" si="5"/>
        <v>0.21809074282660768</v>
      </c>
      <c r="AS6" s="8">
        <f>(AP6-AN6)^2</f>
        <v>4.413965176619114E-2</v>
      </c>
      <c r="AT6" s="8">
        <f t="shared" si="6"/>
        <v>0.14118074970637365</v>
      </c>
      <c r="AU6" s="8">
        <f t="shared" si="7"/>
        <v>0.15912859545862756</v>
      </c>
    </row>
    <row r="7" spans="1:48">
      <c r="A7" s="12">
        <v>3</v>
      </c>
      <c r="B7" s="13">
        <v>44207</v>
      </c>
      <c r="C7" s="14">
        <v>0.524363425925926</v>
      </c>
      <c r="D7" s="15">
        <v>-6.79</v>
      </c>
      <c r="E7" s="15">
        <v>106.969999999999</v>
      </c>
      <c r="F7" s="16">
        <v>10</v>
      </c>
      <c r="G7" s="17">
        <v>3.2</v>
      </c>
      <c r="I7" s="21" t="s">
        <v>11</v>
      </c>
      <c r="J7" s="8"/>
      <c r="L7" s="31">
        <v>3.2</v>
      </c>
      <c r="M7" s="12">
        <v>4</v>
      </c>
      <c r="N7" s="24">
        <f>SQRT(('Olah Semivariogram'!$D$5-'Olah Semivariogram'!D8)^2+('Olah Semivariogram'!$E$5-'Olah Semivariogram'!E8)^2)</f>
        <v>0.65513357416636986</v>
      </c>
      <c r="O7" s="24">
        <f>SQRT(('Olah Semivariogram'!$D$6-'Olah Semivariogram'!D8)^2+('Olah Semivariogram'!$E$6-'Olah Semivariogram'!E8)^2)</f>
        <v>0.71512236715124489</v>
      </c>
      <c r="P7" s="24">
        <f>SQRT(('Olah Semivariogram'!$D$7-'Olah Semivariogram'!D8)^2+('Olah Semivariogram'!$E$7-'Olah Semivariogram'!E8)^2)</f>
        <v>1.0632027088001599</v>
      </c>
      <c r="Q7" s="24">
        <f>SQRT(('Olah Semivariogram'!$D$8-'Olah Semivariogram'!D8)^2+('Olah Semivariogram'!$E$8-'Olah Semivariogram'!E8)^2)</f>
        <v>0</v>
      </c>
      <c r="R7" s="24">
        <f>SQRT(('Olah Semivariogram'!$D$9-'Olah Semivariogram'!D8)^2+('Olah Semivariogram'!$E$9-'Olah Semivariogram'!E8)^2)</f>
        <v>0.94031909477526632</v>
      </c>
      <c r="S7" s="24">
        <f>SQRT(('Olah Semivariogram'!$D$10-'Olah Semivariogram'!D8)^2+('Olah Semivariogram'!$E$10-'Olah Semivariogram'!E8)^2)</f>
        <v>2.2360679774549374E-2</v>
      </c>
      <c r="T7" s="24">
        <f>SQRT(('Olah Semivariogram'!$D$11-'Olah Semivariogram'!D8)^2+('Olah Semivariogram'!$E$11-'Olah Semivariogram'!E8)^2)</f>
        <v>0.78236819976274607</v>
      </c>
      <c r="U7" s="24">
        <f>SQRT(('Olah Semivariogram'!$D$12-'Olah Semivariogram'!D8)^2+('Olah Semivariogram'!$E$12-'Olah Semivariogram'!E8)^2)</f>
        <v>0.75239617223906707</v>
      </c>
      <c r="V7" s="24">
        <f>SQRT(('Olah Semivariogram'!$D$13-'Olah Semivariogram'!D8)^2+('Olah Semivariogram'!$E$13-'Olah Semivariogram'!E8)^2)</f>
        <v>0.72520893541023967</v>
      </c>
      <c r="W7" s="24">
        <f>SQRT(('Olah Semivariogram'!$D$14-'Olah Semivariogram'!D8)^2+('Olah Semivariogram'!$E$14-'Olah Semivariogram'!E8)^2)</f>
        <v>0.58821764679328947</v>
      </c>
      <c r="X7" s="91"/>
      <c r="Z7" s="55">
        <v>2.2000000000000002</v>
      </c>
      <c r="AA7" s="43">
        <v>2.2000000000000002</v>
      </c>
      <c r="AB7" s="30">
        <v>0</v>
      </c>
      <c r="AC7" s="30">
        <f t="shared" si="0"/>
        <v>0</v>
      </c>
      <c r="AD7" s="58">
        <f t="shared" si="1"/>
        <v>0</v>
      </c>
      <c r="AE7" s="137"/>
      <c r="AF7" s="140"/>
      <c r="AH7" s="8">
        <v>5</v>
      </c>
      <c r="AI7" s="8">
        <f>COUNT(Z31:Z34)</f>
        <v>4</v>
      </c>
      <c r="AJ7" s="35">
        <f>SUM(AC31:AC34)</f>
        <v>1.7699999999999996</v>
      </c>
      <c r="AK7" s="8">
        <f t="shared" si="2"/>
        <v>0.47985594546194427</v>
      </c>
      <c r="AL7" s="8">
        <v>0.41987395227920121</v>
      </c>
      <c r="AM7" s="8">
        <v>0.53983793864468732</v>
      </c>
      <c r="AN7" s="8">
        <f t="shared" si="3"/>
        <v>0.22124999999999995</v>
      </c>
      <c r="AP7" s="8">
        <f t="shared" ref="AP7:AP12" si="8">$AN$14</f>
        <v>0.41912499999999991</v>
      </c>
      <c r="AQ7" s="8">
        <f t="shared" si="4"/>
        <v>0.28546328916159081</v>
      </c>
      <c r="AR7" s="8">
        <f t="shared" si="5"/>
        <v>0.30559731182981698</v>
      </c>
      <c r="AS7" s="8">
        <f t="shared" ref="AS7:AS12" si="9">(AP7-AN7)^2</f>
        <v>3.915451562499999E-2</v>
      </c>
      <c r="AT7" s="8">
        <f t="shared" si="6"/>
        <v>4.1233465049500817E-3</v>
      </c>
      <c r="AU7" s="8">
        <f t="shared" si="7"/>
        <v>7.1144690129163919E-3</v>
      </c>
    </row>
    <row r="8" spans="1:48">
      <c r="A8" s="12">
        <v>4</v>
      </c>
      <c r="B8" s="13">
        <v>44215</v>
      </c>
      <c r="C8" s="14">
        <v>0.66035879629629601</v>
      </c>
      <c r="D8" s="15">
        <v>-7.81</v>
      </c>
      <c r="E8" s="15">
        <v>107.269999999999</v>
      </c>
      <c r="F8" s="16">
        <v>30</v>
      </c>
      <c r="G8" s="17">
        <v>3.2</v>
      </c>
      <c r="I8" s="20" t="s">
        <v>10</v>
      </c>
      <c r="J8" s="8">
        <v>10</v>
      </c>
      <c r="L8" s="31">
        <v>2.2000000000000002</v>
      </c>
      <c r="M8" s="12">
        <v>5</v>
      </c>
      <c r="N8" s="24">
        <f>SQRT(('Olah Semivariogram'!$D$5-'Olah Semivariogram'!D9)^2+('Olah Semivariogram'!$E$5-'Olah Semivariogram'!E9)^2)</f>
        <v>0.45276925690698211</v>
      </c>
      <c r="O8" s="24">
        <f>SQRT(('Olah Semivariogram'!$D$6-'Olah Semivariogram'!D9)^2+('Olah Semivariogram'!$E$6-'Olah Semivariogram'!E9)^2)</f>
        <v>0.28635642126461563</v>
      </c>
      <c r="P8" s="24">
        <f>SQRT(('Olah Semivariogram'!$D$7-'Olah Semivariogram'!D9)^2+('Olah Semivariogram'!$E$7-'Olah Semivariogram'!E9)^2)</f>
        <v>0.31144823004727346</v>
      </c>
      <c r="Q8" s="24">
        <f>SQRT(('Olah Semivariogram'!$D$8-'Olah Semivariogram'!D9)^2+('Olah Semivariogram'!$E$8-'Olah Semivariogram'!E9)^2)</f>
        <v>0.94031909477526632</v>
      </c>
      <c r="R8" s="24">
        <f>SQRT(('Olah Semivariogram'!$D$9-'Olah Semivariogram'!D9)^2+('Olah Semivariogram'!$E$9-'Olah Semivariogram'!E9)^2)</f>
        <v>0</v>
      </c>
      <c r="S8" s="24">
        <f>SQRT(('Olah Semivariogram'!$D$10-'Olah Semivariogram'!D9)^2+('Olah Semivariogram'!$E$10-'Olah Semivariogram'!E9)^2)</f>
        <v>0.9518928511129815</v>
      </c>
      <c r="T8" s="24">
        <f>SQRT(('Olah Semivariogram'!$D$11-'Olah Semivariogram'!D9)^2+('Olah Semivariogram'!$E$11-'Olah Semivariogram'!E9)^2)</f>
        <v>0.36400549446438535</v>
      </c>
      <c r="U8" s="24">
        <f>SQRT(('Olah Semivariogram'!$D$12-'Olah Semivariogram'!D9)^2+('Olah Semivariogram'!$E$12-'Olah Semivariogram'!E9)^2)</f>
        <v>0.76843997813783893</v>
      </c>
      <c r="V8" s="24">
        <f>SQRT(('Olah Semivariogram'!$D$13-'Olah Semivariogram'!D9)^2+('Olah Semivariogram'!$E$13-'Olah Semivariogram'!E9)^2)</f>
        <v>0.35850801943610949</v>
      </c>
      <c r="W8" s="24">
        <f>SQRT(('Olah Semivariogram'!$D$14-'Olah Semivariogram'!D9)^2+('Olah Semivariogram'!$E$14-'Olah Semivariogram'!E9)^2)</f>
        <v>0.45099889135118748</v>
      </c>
      <c r="X8" s="91"/>
      <c r="Z8" s="55">
        <v>3.6</v>
      </c>
      <c r="AA8" s="43">
        <v>3.6</v>
      </c>
      <c r="AB8" s="30">
        <v>0</v>
      </c>
      <c r="AC8" s="30">
        <f t="shared" si="0"/>
        <v>0</v>
      </c>
      <c r="AD8" s="58">
        <f t="shared" si="1"/>
        <v>0</v>
      </c>
      <c r="AE8" s="137"/>
      <c r="AF8" s="140"/>
      <c r="AH8" s="8">
        <v>6</v>
      </c>
      <c r="AI8" s="8">
        <f>COUNT(Z35:Z39)</f>
        <v>5</v>
      </c>
      <c r="AJ8" s="35">
        <f>SUM(AC35:AC39)</f>
        <v>2.6500000000000004</v>
      </c>
      <c r="AK8" s="8">
        <f t="shared" si="2"/>
        <v>0.59981993182743032</v>
      </c>
      <c r="AL8" s="8">
        <v>0.53983793864468732</v>
      </c>
      <c r="AM8" s="8">
        <v>0.65980192501017332</v>
      </c>
      <c r="AN8" s="8">
        <f t="shared" si="3"/>
        <v>0.26500000000000001</v>
      </c>
      <c r="AP8" s="8">
        <f t="shared" si="8"/>
        <v>0.41912499999999991</v>
      </c>
      <c r="AQ8" s="8">
        <f t="shared" si="4"/>
        <v>0.31868125935134067</v>
      </c>
      <c r="AR8" s="8">
        <f t="shared" si="5"/>
        <v>0.36467118679414184</v>
      </c>
      <c r="AS8" s="8">
        <f t="shared" si="9"/>
        <v>2.3754515624999969E-2</v>
      </c>
      <c r="AT8" s="8">
        <f t="shared" si="6"/>
        <v>2.881677605545899E-3</v>
      </c>
      <c r="AU8" s="8">
        <f t="shared" si="7"/>
        <v>9.9343454769527124E-3</v>
      </c>
    </row>
    <row r="9" spans="1:48">
      <c r="A9" s="12">
        <v>5</v>
      </c>
      <c r="B9" s="13">
        <v>44215</v>
      </c>
      <c r="C9" s="14">
        <v>0.67125000000000001</v>
      </c>
      <c r="D9" s="15">
        <v>-7.02</v>
      </c>
      <c r="E9" s="15">
        <v>106.76</v>
      </c>
      <c r="F9" s="16">
        <v>10</v>
      </c>
      <c r="G9" s="17">
        <v>2.2000000000000002</v>
      </c>
      <c r="I9" s="22" t="s">
        <v>21</v>
      </c>
      <c r="J9" s="8">
        <f>(J8*(J8-1))/2</f>
        <v>45</v>
      </c>
      <c r="L9" s="31">
        <v>3.6</v>
      </c>
      <c r="M9" s="12">
        <v>6</v>
      </c>
      <c r="N9" s="24">
        <f>SQRT(('Olah Semivariogram'!$D$5-'Olah Semivariogram'!D10)^2+('Olah Semivariogram'!$E$5-'Olah Semivariogram'!E10)^2)</f>
        <v>0.65734313718263382</v>
      </c>
      <c r="O9" s="24">
        <f>SQRT(('Olah Semivariogram'!$D$6-'Olah Semivariogram'!D10)^2+('Olah Semivariogram'!$E$6-'Olah Semivariogram'!E10)^2)</f>
        <v>0.7305477397134853</v>
      </c>
      <c r="P9" s="24">
        <f>SQRT(('Olah Semivariogram'!$D$7-'Olah Semivariogram'!D10)^2+('Olah Semivariogram'!$E$7-'Olah Semivariogram'!E10)^2)</f>
        <v>1.0796758772893746</v>
      </c>
      <c r="Q9" s="24">
        <f>SQRT(('Olah Semivariogram'!$D$8-'Olah Semivariogram'!D10)^2+('Olah Semivariogram'!$E$8-'Olah Semivariogram'!E10)^2)</f>
        <v>2.2360679774549374E-2</v>
      </c>
      <c r="R9" s="24">
        <f>SQRT(('Olah Semivariogram'!$D$9-'Olah Semivariogram'!D10)^2+('Olah Semivariogram'!$E$9-'Olah Semivariogram'!E10)^2)</f>
        <v>0.9518928511129815</v>
      </c>
      <c r="S9" s="24">
        <f>SQRT(('Olah Semivariogram'!$D$10-'Olah Semivariogram'!D10)^2+('Olah Semivariogram'!$E$10-'Olah Semivariogram'!E10)^2)</f>
        <v>0</v>
      </c>
      <c r="T9" s="24">
        <f>SQRT(('Olah Semivariogram'!$D$11-'Olah Semivariogram'!D10)^2+('Olah Semivariogram'!$E$11-'Olah Semivariogram'!E10)^2)</f>
        <v>0.78600254452594831</v>
      </c>
      <c r="U9" s="24">
        <f>SQRT(('Olah Semivariogram'!$D$12-'Olah Semivariogram'!D10)^2+('Olah Semivariogram'!$E$12-'Olah Semivariogram'!E10)^2)</f>
        <v>0.74431176263813381</v>
      </c>
      <c r="V9" s="24">
        <f>SQRT(('Olah Semivariogram'!$D$13-'Olah Semivariogram'!D10)^2+('Olah Semivariogram'!$E$13-'Olah Semivariogram'!E10)^2)</f>
        <v>0.72964923079519095</v>
      </c>
      <c r="W9" s="24">
        <f>SQRT(('Olah Semivariogram'!$D$14-'Olah Semivariogram'!D10)^2+('Olah Semivariogram'!$E$14-'Olah Semivariogram'!E10)^2)</f>
        <v>0.59203040462462664</v>
      </c>
      <c r="X9" s="91"/>
      <c r="Z9" s="55">
        <v>3.1</v>
      </c>
      <c r="AA9" s="43">
        <v>3.1</v>
      </c>
      <c r="AB9" s="30">
        <v>0</v>
      </c>
      <c r="AC9" s="30">
        <f t="shared" si="0"/>
        <v>0</v>
      </c>
      <c r="AD9" s="58">
        <f t="shared" si="1"/>
        <v>0</v>
      </c>
      <c r="AE9" s="137"/>
      <c r="AF9" s="140"/>
      <c r="AH9" s="8">
        <v>7</v>
      </c>
      <c r="AI9" s="8">
        <f>COUNT(Z40:Z49)</f>
        <v>10</v>
      </c>
      <c r="AJ9" s="35">
        <f>SUM(AC40:AC49)</f>
        <v>5.52</v>
      </c>
      <c r="AK9" s="8">
        <f t="shared" si="2"/>
        <v>0.71978391819291643</v>
      </c>
      <c r="AL9" s="8">
        <v>0.65980192501017343</v>
      </c>
      <c r="AM9" s="8">
        <v>0.77976591137565943</v>
      </c>
      <c r="AN9" s="8">
        <f t="shared" si="3"/>
        <v>0.27599999999999997</v>
      </c>
      <c r="AP9" s="8">
        <f t="shared" si="8"/>
        <v>0.41912499999999991</v>
      </c>
      <c r="AQ9" s="8">
        <f t="shared" si="4"/>
        <v>0.3436438096709894</v>
      </c>
      <c r="AR9" s="8">
        <f t="shared" si="5"/>
        <v>0.3969405033774534</v>
      </c>
      <c r="AS9" s="8">
        <f t="shared" si="9"/>
        <v>2.0484765624999984E-2</v>
      </c>
      <c r="AT9" s="8">
        <f t="shared" si="6"/>
        <v>4.5756849868050431E-3</v>
      </c>
      <c r="AU9" s="8">
        <f t="shared" si="7"/>
        <v>1.4626605357191826E-2</v>
      </c>
    </row>
    <row r="10" spans="1:48">
      <c r="A10" s="12">
        <v>6</v>
      </c>
      <c r="B10" s="13">
        <v>44216</v>
      </c>
      <c r="C10" s="14">
        <v>0.88252314814814803</v>
      </c>
      <c r="D10" s="15">
        <v>-7.83</v>
      </c>
      <c r="E10" s="15">
        <v>107.26</v>
      </c>
      <c r="F10" s="16">
        <v>27</v>
      </c>
      <c r="G10" s="17">
        <v>3.6</v>
      </c>
      <c r="L10" s="31">
        <v>3.1</v>
      </c>
      <c r="M10" s="12">
        <v>7</v>
      </c>
      <c r="N10" s="24">
        <f>SQRT(('Olah Semivariogram'!$D$5-'Olah Semivariogram'!D11)^2+('Olah Semivariogram'!$E$5-'Olah Semivariogram'!E11)^2)</f>
        <v>0.13601470508735297</v>
      </c>
      <c r="O10" s="24">
        <f>SQRT(('Olah Semivariogram'!$D$6-'Olah Semivariogram'!D11)^2+('Olah Semivariogram'!$E$6-'Olah Semivariogram'!E11)^2)</f>
        <v>0.44777226354476307</v>
      </c>
      <c r="P10" s="24">
        <f>SQRT(('Olah Semivariogram'!$D$7-'Olah Semivariogram'!D11)^2+('Olah Semivariogram'!$E$7-'Olah Semivariogram'!E11)^2)</f>
        <v>0.66370174024180661</v>
      </c>
      <c r="Q10" s="24">
        <f>SQRT(('Olah Semivariogram'!$D$8-'Olah Semivariogram'!D11)^2+('Olah Semivariogram'!$E$8-'Olah Semivariogram'!E11)^2)</f>
        <v>0.78236819976274607</v>
      </c>
      <c r="R10" s="24">
        <f>SQRT(('Olah Semivariogram'!$D$9-'Olah Semivariogram'!D11)^2+('Olah Semivariogram'!$E$9-'Olah Semivariogram'!E11)^2)</f>
        <v>0.36400549446438535</v>
      </c>
      <c r="S10" s="24">
        <f>SQRT(('Olah Semivariogram'!$D$10-'Olah Semivariogram'!D11)^2+('Olah Semivariogram'!$E$10-'Olah Semivariogram'!E11)^2)</f>
        <v>0.78600254452594831</v>
      </c>
      <c r="T10" s="24">
        <f>SQRT(('Olah Semivariogram'!$D$11-'Olah Semivariogram'!D11)^2+('Olah Semivariogram'!$E$11-'Olah Semivariogram'!E11)^2)</f>
        <v>0</v>
      </c>
      <c r="U10" s="24">
        <f>SQRT(('Olah Semivariogram'!$D$12-'Olah Semivariogram'!D11)^2+('Olah Semivariogram'!$E$12-'Olah Semivariogram'!E11)^2)</f>
        <v>0.40521599178709572</v>
      </c>
      <c r="V10" s="24">
        <f>SQRT(('Olah Semivariogram'!$D$13-'Olah Semivariogram'!D11)^2+('Olah Semivariogram'!$E$13-'Olah Semivariogram'!E11)^2)</f>
        <v>6.3150613616361984E-2</v>
      </c>
      <c r="W10" s="24">
        <f>SQRT(('Olah Semivariogram'!$D$14-'Olah Semivariogram'!D11)^2+('Olah Semivariogram'!$E$14-'Olah Semivariogram'!E11)^2)</f>
        <v>0.1941648783903043</v>
      </c>
      <c r="X10" s="91"/>
      <c r="Z10" s="55">
        <v>3.5</v>
      </c>
      <c r="AA10" s="43">
        <v>3.5</v>
      </c>
      <c r="AB10" s="30">
        <v>0</v>
      </c>
      <c r="AC10" s="30">
        <f t="shared" si="0"/>
        <v>0</v>
      </c>
      <c r="AD10" s="58">
        <f t="shared" si="1"/>
        <v>0</v>
      </c>
      <c r="AE10" s="137"/>
      <c r="AF10" s="140"/>
      <c r="AH10" s="8">
        <v>8</v>
      </c>
      <c r="AI10" s="8">
        <f>COUNT(Z50:Z52)</f>
        <v>3</v>
      </c>
      <c r="AJ10" s="35">
        <f>SUM(AC50:AC52)</f>
        <v>0.89999999999999969</v>
      </c>
      <c r="AK10" s="8">
        <f t="shared" si="2"/>
        <v>0.83974790455840242</v>
      </c>
      <c r="AL10" s="8">
        <v>0.77976591137565943</v>
      </c>
      <c r="AM10" s="8">
        <v>0.89972989774114542</v>
      </c>
      <c r="AN10" s="8">
        <f t="shared" si="3"/>
        <v>0.14999999999999994</v>
      </c>
      <c r="AP10" s="8">
        <f t="shared" si="8"/>
        <v>0.41912499999999991</v>
      </c>
      <c r="AQ10" s="8">
        <f t="shared" si="4"/>
        <v>0.36240259941345465</v>
      </c>
      <c r="AR10" s="8">
        <f t="shared" si="5"/>
        <v>0.41144845785075917</v>
      </c>
      <c r="AS10" s="8">
        <f t="shared" si="9"/>
        <v>7.2428265624999974E-2</v>
      </c>
      <c r="AT10" s="8">
        <f t="shared" si="6"/>
        <v>4.5114864237592513E-2</v>
      </c>
      <c r="AU10" s="8">
        <f t="shared" si="7"/>
        <v>6.8355296112540209E-2</v>
      </c>
    </row>
    <row r="11" spans="1:48">
      <c r="A11" s="12">
        <v>7</v>
      </c>
      <c r="B11" s="13">
        <v>44221</v>
      </c>
      <c r="C11" s="14">
        <v>0.65237268518518499</v>
      </c>
      <c r="D11" s="15">
        <v>-7.36</v>
      </c>
      <c r="E11" s="15">
        <v>106.629999999999</v>
      </c>
      <c r="F11" s="16">
        <v>81</v>
      </c>
      <c r="G11" s="17">
        <v>3.1</v>
      </c>
      <c r="I11" s="9" t="s">
        <v>13</v>
      </c>
      <c r="L11" s="31">
        <v>3.5</v>
      </c>
      <c r="M11" s="12">
        <v>8</v>
      </c>
      <c r="N11" s="24">
        <f>SQRT(('Olah Semivariogram'!$D$5-'Olah Semivariogram'!D12)^2+('Olah Semivariogram'!$E$5-'Olah Semivariogram'!E12)^2)</f>
        <v>0.33837848631377154</v>
      </c>
      <c r="O11" s="24">
        <f>SQRT(('Olah Semivariogram'!$D$6-'Olah Semivariogram'!D12)^2+('Olah Semivariogram'!$E$6-'Olah Semivariogram'!E12)^2)</f>
        <v>0.78873316146844008</v>
      </c>
      <c r="P11" s="24">
        <f>SQRT(('Olah Semivariogram'!$D$7-'Olah Semivariogram'!D12)^2+('Olah Semivariogram'!$E$7-'Olah Semivariogram'!E12)^2)</f>
        <v>1.0602358228243387</v>
      </c>
      <c r="Q11" s="24">
        <f>SQRT(('Olah Semivariogram'!$D$8-'Olah Semivariogram'!D12)^2+('Olah Semivariogram'!$E$8-'Olah Semivariogram'!E12)^2)</f>
        <v>0.75239617223906707</v>
      </c>
      <c r="R11" s="24">
        <f>SQRT(('Olah Semivariogram'!$D$9-'Olah Semivariogram'!D12)^2+('Olah Semivariogram'!$E$9-'Olah Semivariogram'!E12)^2)</f>
        <v>0.76843997813783893</v>
      </c>
      <c r="S11" s="24">
        <f>SQRT(('Olah Semivariogram'!$D$10-'Olah Semivariogram'!D12)^2+('Olah Semivariogram'!$E$10-'Olah Semivariogram'!E12)^2)</f>
        <v>0.74431176263813381</v>
      </c>
      <c r="T11" s="24">
        <f>SQRT(('Olah Semivariogram'!$D$11-'Olah Semivariogram'!D12)^2+('Olah Semivariogram'!$E$11-'Olah Semivariogram'!E12)^2)</f>
        <v>0.40521599178709572</v>
      </c>
      <c r="U11" s="24">
        <f>SQRT(('Olah Semivariogram'!$D$12-'Olah Semivariogram'!D12)^2+('Olah Semivariogram'!$E$12-'Olah Semivariogram'!E12)^2)</f>
        <v>0</v>
      </c>
      <c r="V11" s="24">
        <f>SQRT(('Olah Semivariogram'!$D$13-'Olah Semivariogram'!D12)^2+('Olah Semivariogram'!$E$13-'Olah Semivariogram'!E12)^2)</f>
        <v>0.4152926678865656</v>
      </c>
      <c r="W11" s="24">
        <f>SQRT(('Olah Semivariogram'!$D$14-'Olah Semivariogram'!D12)^2+('Olah Semivariogram'!$E$14-'Olah Semivariogram'!E12)^2)</f>
        <v>0.38897300677623226</v>
      </c>
      <c r="X11" s="91"/>
      <c r="Z11" s="55">
        <v>4.5</v>
      </c>
      <c r="AA11" s="43">
        <v>4.5</v>
      </c>
      <c r="AB11" s="30">
        <v>0</v>
      </c>
      <c r="AC11" s="30">
        <f t="shared" si="0"/>
        <v>0</v>
      </c>
      <c r="AD11" s="58">
        <f t="shared" si="1"/>
        <v>0</v>
      </c>
      <c r="AE11" s="137"/>
      <c r="AF11" s="140"/>
      <c r="AH11" s="8">
        <v>9</v>
      </c>
      <c r="AI11" s="8">
        <f>COUNT(Z53:Z54)</f>
        <v>2</v>
      </c>
      <c r="AJ11" s="35">
        <f>SUM(AC53:AC54)</f>
        <v>2.96</v>
      </c>
      <c r="AK11" s="8">
        <f t="shared" si="2"/>
        <v>0.95971189092388853</v>
      </c>
      <c r="AL11" s="8">
        <v>0.89972989774114542</v>
      </c>
      <c r="AM11" s="8">
        <v>1.0196938841066316</v>
      </c>
      <c r="AN11" s="8">
        <f>AJ11/(2*AI11)</f>
        <v>0.74</v>
      </c>
      <c r="AP11" s="8">
        <f t="shared" si="8"/>
        <v>0.41912499999999991</v>
      </c>
      <c r="AQ11" s="8">
        <f t="shared" si="4"/>
        <v>0.37649940395049086</v>
      </c>
      <c r="AR11" s="8">
        <f t="shared" si="5"/>
        <v>0.41686880580591851</v>
      </c>
      <c r="AS11" s="8">
        <f>(AP11-AN11)^2</f>
        <v>0.10296076562500005</v>
      </c>
      <c r="AT11" s="8">
        <f t="shared" si="6"/>
        <v>0.1321326833283484</v>
      </c>
      <c r="AU11" s="8">
        <f t="shared" si="7"/>
        <v>0.1044137686612932</v>
      </c>
    </row>
    <row r="12" spans="1:48">
      <c r="A12" s="12">
        <v>8</v>
      </c>
      <c r="B12" s="18">
        <v>44247</v>
      </c>
      <c r="C12" s="14">
        <v>0.38552083333333298</v>
      </c>
      <c r="D12" s="15">
        <v>-7.75</v>
      </c>
      <c r="E12" s="15">
        <v>106.519999999999</v>
      </c>
      <c r="F12" s="16">
        <v>20</v>
      </c>
      <c r="G12" s="17">
        <v>3.5</v>
      </c>
      <c r="L12" s="31">
        <v>4.5</v>
      </c>
      <c r="M12" s="12">
        <v>9</v>
      </c>
      <c r="N12" s="24">
        <f>SQRT(('Olah Semivariogram'!$D$5-'Olah Semivariogram'!D13)^2+('Olah Semivariogram'!$E$5-'Olah Semivariogram'!E13)^2)</f>
        <v>9.9639349656469492E-2</v>
      </c>
      <c r="O12" s="24">
        <f>SQRT(('Olah Semivariogram'!$D$6-'Olah Semivariogram'!D13)^2+('Olah Semivariogram'!$E$6-'Olah Semivariogram'!E13)^2)</f>
        <v>0.40175614494286138</v>
      </c>
      <c r="P12" s="24">
        <f>SQRT(('Olah Semivariogram'!$D$7-'Olah Semivariogram'!D13)^2+('Olah Semivariogram'!$E$7-'Olah Semivariogram'!E13)^2)</f>
        <v>0.64498682157037124</v>
      </c>
      <c r="Q12" s="24">
        <f>SQRT(('Olah Semivariogram'!$D$8-'Olah Semivariogram'!D13)^2+('Olah Semivariogram'!$E$8-'Olah Semivariogram'!E13)^2)</f>
        <v>0.72520893541023967</v>
      </c>
      <c r="R12" s="24">
        <f>SQRT(('Olah Semivariogram'!$D$9-'Olah Semivariogram'!D13)^2+('Olah Semivariogram'!$E$9-'Olah Semivariogram'!E13)^2)</f>
        <v>0.35850801943610949</v>
      </c>
      <c r="S12" s="24">
        <f>SQRT(('Olah Semivariogram'!$D$10-'Olah Semivariogram'!D13)^2+('Olah Semivariogram'!$E$10-'Olah Semivariogram'!E13)^2)</f>
        <v>0.72964923079519095</v>
      </c>
      <c r="T12" s="24">
        <f>SQRT(('Olah Semivariogram'!$D$11-'Olah Semivariogram'!D13)^2+('Olah Semivariogram'!$E$11-'Olah Semivariogram'!E13)^2)</f>
        <v>6.3150613616361984E-2</v>
      </c>
      <c r="U12" s="24">
        <f>SQRT(('Olah Semivariogram'!$D$12-'Olah Semivariogram'!D13)^2+('Olah Semivariogram'!$E$12-'Olah Semivariogram'!E13)^2)</f>
        <v>0.4152926678865656</v>
      </c>
      <c r="V12" s="24">
        <f>SQRT(('Olah Semivariogram'!$D$13-'Olah Semivariogram'!D13)^2+('Olah Semivariogram'!$E$13-'Olah Semivariogram'!E13)^2)</f>
        <v>0</v>
      </c>
      <c r="W12" s="24">
        <f>SQRT(('Olah Semivariogram'!$D$14-'Olah Semivariogram'!D13)^2+('Olah Semivariogram'!$E$14-'Olah Semivariogram'!E13)^2)</f>
        <v>0.13859292911257254</v>
      </c>
      <c r="X12" s="91"/>
      <c r="Z12" s="56">
        <v>2.8</v>
      </c>
      <c r="AA12" s="47">
        <v>2.8</v>
      </c>
      <c r="AB12" s="45">
        <v>0</v>
      </c>
      <c r="AC12" s="45">
        <f t="shared" si="0"/>
        <v>0</v>
      </c>
      <c r="AD12" s="58">
        <f t="shared" si="1"/>
        <v>0</v>
      </c>
      <c r="AE12" s="137"/>
      <c r="AF12" s="140"/>
      <c r="AH12" s="8">
        <v>10</v>
      </c>
      <c r="AI12" s="8">
        <f>COUNT(Z55:Z57)</f>
        <v>3</v>
      </c>
      <c r="AJ12" s="35">
        <f>SUM(AC55:AC57)</f>
        <v>0.24999999999999983</v>
      </c>
      <c r="AK12" s="8">
        <f t="shared" si="2"/>
        <v>1.0796758772893746</v>
      </c>
      <c r="AL12" s="8">
        <v>1.0196938841066316</v>
      </c>
      <c r="AM12" s="8">
        <v>1.1396578704721176</v>
      </c>
      <c r="AN12" s="8">
        <f>AJ12/(2*AI12)</f>
        <v>4.1666666666666637E-2</v>
      </c>
      <c r="AP12" s="8">
        <f t="shared" si="8"/>
        <v>0.41912499999999991</v>
      </c>
      <c r="AQ12" s="8">
        <f t="shared" si="4"/>
        <v>0.38709283246499426</v>
      </c>
      <c r="AR12" s="8">
        <f t="shared" si="5"/>
        <v>0.41856177477879541</v>
      </c>
      <c r="AS12" s="8">
        <f t="shared" si="9"/>
        <v>0.14247479340277774</v>
      </c>
      <c r="AT12" s="8">
        <f>(AQ12-AN12)^2</f>
        <v>0.11931923601813373</v>
      </c>
      <c r="AU12" s="8">
        <f t="shared" si="7"/>
        <v>0.14204992251885323</v>
      </c>
    </row>
    <row r="13" spans="1:48">
      <c r="A13" s="12">
        <v>9</v>
      </c>
      <c r="B13" s="13">
        <v>44248</v>
      </c>
      <c r="C13" s="14">
        <v>0.62260416666666674</v>
      </c>
      <c r="D13" s="15">
        <v>-7.3719999999999999</v>
      </c>
      <c r="E13" s="15">
        <v>106.69199999999999</v>
      </c>
      <c r="F13" s="16">
        <v>60</v>
      </c>
      <c r="G13" s="17">
        <v>4.5</v>
      </c>
      <c r="L13" s="32">
        <v>2.8</v>
      </c>
      <c r="M13" s="12">
        <v>10</v>
      </c>
      <c r="N13" s="24">
        <f>SQRT(('Olah Semivariogram'!$D$5-'Olah Semivariogram'!D14)^2+('Olah Semivariogram'!$E$5-'Olah Semivariogram'!E14)^2)</f>
        <v>8.0000000001007265E-2</v>
      </c>
      <c r="O13" s="24">
        <f>SQRT(('Olah Semivariogram'!$D$6-'Olah Semivariogram'!D14)^2+('Olah Semivariogram'!$E$6-'Olah Semivariogram'!E14)^2)</f>
        <v>0.40224370722180075</v>
      </c>
      <c r="P13" s="24">
        <f>SQRT(('Olah Semivariogram'!$D$7-'Olah Semivariogram'!D14)^2+('Olah Semivariogram'!$E$7-'Olah Semivariogram'!E14)^2)</f>
        <v>0.70342021580250225</v>
      </c>
      <c r="Q13" s="24">
        <f>SQRT(('Olah Semivariogram'!$D$8-'Olah Semivariogram'!D14)^2+('Olah Semivariogram'!$E$8-'Olah Semivariogram'!E14)^2)</f>
        <v>0.58821764679328947</v>
      </c>
      <c r="R13" s="24">
        <f>SQRT(('Olah Semivariogram'!$D$9-'Olah Semivariogram'!D14)^2+('Olah Semivariogram'!$E$9-'Olah Semivariogram'!E14)^2)</f>
        <v>0.45099889135118748</v>
      </c>
      <c r="S13" s="24">
        <f>SQRT(('Olah Semivariogram'!$D$10-'Olah Semivariogram'!D14)^2+('Olah Semivariogram'!$E$10-'Olah Semivariogram'!E14)^2)</f>
        <v>0.59203040462462664</v>
      </c>
      <c r="T13" s="24">
        <f>SQRT(('Olah Semivariogram'!$D$11-'Olah Semivariogram'!D14)^2+('Olah Semivariogram'!$E$11-'Olah Semivariogram'!E14)^2)</f>
        <v>0.1941648783903043</v>
      </c>
      <c r="U13" s="24">
        <f>SQRT(('Olah Semivariogram'!$D$12-'Olah Semivariogram'!D14)^2+('Olah Semivariogram'!$E$12-'Olah Semivariogram'!E14)^2)</f>
        <v>0.38897300677623226</v>
      </c>
      <c r="V13" s="24">
        <f>SQRT(('Olah Semivariogram'!$D$13-'Olah Semivariogram'!D14)^2+('Olah Semivariogram'!$E$13-'Olah Semivariogram'!E14)^2)</f>
        <v>0.13859292911257254</v>
      </c>
      <c r="W13" s="24">
        <f>SQRT(('Olah Semivariogram'!$D$14-'Olah Semivariogram'!D14)^2+('Olah Semivariogram'!$E$14-'Olah Semivariogram'!E14)^2)</f>
        <v>0</v>
      </c>
      <c r="X13" s="91"/>
      <c r="Y13" s="9" t="s">
        <v>28</v>
      </c>
      <c r="Z13" s="54">
        <v>3.2</v>
      </c>
      <c r="AA13" s="60">
        <v>3.6</v>
      </c>
      <c r="AB13" s="33">
        <v>2.2360679774549374E-2</v>
      </c>
      <c r="AC13" s="52">
        <f t="shared" si="0"/>
        <v>0.15999999999999992</v>
      </c>
      <c r="AD13" s="59">
        <f>AC13/2</f>
        <v>7.999999999999996E-2</v>
      </c>
      <c r="AE13" s="137"/>
      <c r="AF13" s="140"/>
      <c r="AM13" s="21" t="s">
        <v>48</v>
      </c>
      <c r="AN13" s="114">
        <v>0</v>
      </c>
      <c r="AO13" s="63"/>
      <c r="AP13" s="114">
        <v>0</v>
      </c>
      <c r="AQ13" s="114">
        <v>0</v>
      </c>
      <c r="AR13" s="114">
        <v>0</v>
      </c>
      <c r="AS13" s="90">
        <f>AVERAGE(AS3:AS12)</f>
        <v>6.5890704534858152E-2</v>
      </c>
      <c r="AT13" s="90">
        <f>AVERAGE(AT3:AT12)</f>
        <v>6.7816271986995774E-2</v>
      </c>
      <c r="AU13" s="90">
        <f>AVERAGE(AU3:AU12)</f>
        <v>7.9784833228117955E-2</v>
      </c>
      <c r="AV13" s="21" t="s">
        <v>53</v>
      </c>
    </row>
    <row r="14" spans="1:48">
      <c r="A14" s="12">
        <v>10</v>
      </c>
      <c r="B14" s="13">
        <v>44248</v>
      </c>
      <c r="C14" s="14">
        <v>0.96557870370370402</v>
      </c>
      <c r="D14" s="15">
        <v>-7.47</v>
      </c>
      <c r="E14" s="15">
        <v>106.79</v>
      </c>
      <c r="F14" s="16">
        <v>37</v>
      </c>
      <c r="G14" s="17">
        <v>2.8</v>
      </c>
      <c r="X14" s="91"/>
      <c r="Z14" s="55">
        <v>3.1</v>
      </c>
      <c r="AA14" s="43">
        <v>4.5</v>
      </c>
      <c r="AB14" s="28">
        <v>6.3150613616361984E-2</v>
      </c>
      <c r="AC14" s="49">
        <f t="shared" si="0"/>
        <v>1.9599999999999997</v>
      </c>
      <c r="AD14" s="59">
        <f t="shared" ref="AD14:AD57" si="10">AC14/2</f>
        <v>0.97999999999999987</v>
      </c>
      <c r="AE14" s="137"/>
      <c r="AF14" s="140"/>
      <c r="AM14" s="21" t="s">
        <v>47</v>
      </c>
      <c r="AN14" s="114">
        <f>AVERAGE(AN6:AN7)</f>
        <v>0.41912499999999991</v>
      </c>
      <c r="AO14" s="63"/>
      <c r="AP14" s="114">
        <f>AP7</f>
        <v>0.41912499999999991</v>
      </c>
      <c r="AQ14" s="114">
        <f>AQ10</f>
        <v>0.36240259941345465</v>
      </c>
      <c r="AR14" s="114">
        <f>AR10</f>
        <v>0.41144845785075917</v>
      </c>
      <c r="AS14" s="90">
        <f>SQRT(AS13)</f>
        <v>0.25669184742577655</v>
      </c>
      <c r="AT14" s="90">
        <f t="shared" ref="AT14:AU14" si="11">SQRT(AT13)</f>
        <v>0.26041557554607936</v>
      </c>
      <c r="AU14" s="90">
        <f t="shared" si="11"/>
        <v>0.28246209166562147</v>
      </c>
      <c r="AV14" s="21" t="s">
        <v>54</v>
      </c>
    </row>
    <row r="15" spans="1:48">
      <c r="A15" s="8">
        <v>11</v>
      </c>
      <c r="B15" s="38">
        <v>44253</v>
      </c>
      <c r="C15" s="39">
        <v>0.14162037037037001</v>
      </c>
      <c r="D15" s="40">
        <v>-7.34</v>
      </c>
      <c r="E15" s="40">
        <v>106.579999999999</v>
      </c>
      <c r="F15" s="41">
        <v>91</v>
      </c>
      <c r="G15" s="42">
        <v>2.9</v>
      </c>
      <c r="M15" s="37" t="s">
        <v>14</v>
      </c>
      <c r="N15" s="8">
        <v>0</v>
      </c>
      <c r="P15" s="69" t="s">
        <v>65</v>
      </c>
      <c r="Q15" s="86">
        <f>AVERAGE(J5:J14)</f>
        <v>27.5</v>
      </c>
      <c r="Z15" s="55">
        <v>3.2</v>
      </c>
      <c r="AA15" s="43">
        <v>2.8</v>
      </c>
      <c r="AB15" s="28">
        <v>8.0000000001007265E-2</v>
      </c>
      <c r="AC15" s="49">
        <f t="shared" si="0"/>
        <v>0.16000000000000028</v>
      </c>
      <c r="AD15" s="59">
        <f t="shared" si="10"/>
        <v>8.000000000000014E-2</v>
      </c>
      <c r="AE15" s="137"/>
      <c r="AF15" s="140"/>
      <c r="AH15" s="134" t="s">
        <v>88</v>
      </c>
      <c r="AI15" s="135"/>
      <c r="AM15" s="21" t="s">
        <v>49</v>
      </c>
      <c r="AN15" s="114">
        <f>MEDIAN(AK6:AK7)</f>
        <v>0.41987395227920121</v>
      </c>
      <c r="AO15" s="63"/>
      <c r="AP15" s="114">
        <f>AK7</f>
        <v>0.47985594546194427</v>
      </c>
      <c r="AQ15" s="114">
        <f>AK10</f>
        <v>0.83974790455840242</v>
      </c>
      <c r="AR15" s="114">
        <f>AK10</f>
        <v>0.83974790455840242</v>
      </c>
      <c r="AS15" s="90">
        <f>SUM(AS3:AS12)</f>
        <v>0.65890704534858147</v>
      </c>
      <c r="AT15" s="90">
        <f>SUM(AT3:AT12)</f>
        <v>0.6781627198699578</v>
      </c>
      <c r="AU15" s="90">
        <f>SUM(AU3:AU12)</f>
        <v>0.79784833228117957</v>
      </c>
      <c r="AV15" s="69" t="s">
        <v>55</v>
      </c>
    </row>
    <row r="16" spans="1:48">
      <c r="A16" s="8">
        <v>12</v>
      </c>
      <c r="B16" s="3">
        <v>44257</v>
      </c>
      <c r="C16" s="4">
        <v>0.52834490740740703</v>
      </c>
      <c r="D16" s="5">
        <v>-7.82</v>
      </c>
      <c r="E16" s="5">
        <v>106.81</v>
      </c>
      <c r="F16" s="6">
        <v>10</v>
      </c>
      <c r="G16" s="7">
        <v>3.9</v>
      </c>
      <c r="M16" s="37" t="s">
        <v>15</v>
      </c>
      <c r="N16" s="53">
        <f>MAX(N4:W13)</f>
        <v>1.0796758772893746</v>
      </c>
      <c r="Z16" s="55">
        <v>3.2</v>
      </c>
      <c r="AA16" s="43">
        <v>4.5</v>
      </c>
      <c r="AB16" s="28">
        <v>9.9639349656469492E-2</v>
      </c>
      <c r="AC16" s="49">
        <f t="shared" si="0"/>
        <v>1.6899999999999995</v>
      </c>
      <c r="AD16" s="59">
        <f t="shared" si="10"/>
        <v>0.84499999999999975</v>
      </c>
      <c r="AE16" s="137"/>
      <c r="AF16" s="140"/>
    </row>
    <row r="17" spans="1:35">
      <c r="A17" s="8">
        <v>13</v>
      </c>
      <c r="B17" s="3">
        <v>44265</v>
      </c>
      <c r="C17" s="4">
        <v>0.171875</v>
      </c>
      <c r="D17" s="5">
        <v>-6.008</v>
      </c>
      <c r="E17" s="5">
        <v>107.117</v>
      </c>
      <c r="F17" s="6">
        <v>310</v>
      </c>
      <c r="G17" s="7">
        <v>4.0999999999999996</v>
      </c>
      <c r="Z17" s="55">
        <v>3.2</v>
      </c>
      <c r="AA17" s="43">
        <v>3.1</v>
      </c>
      <c r="AB17" s="28">
        <v>0.13601470508735297</v>
      </c>
      <c r="AC17" s="49">
        <f t="shared" si="0"/>
        <v>1.0000000000000018E-2</v>
      </c>
      <c r="AD17" s="59">
        <f t="shared" si="10"/>
        <v>5.0000000000000088E-3</v>
      </c>
      <c r="AE17" s="137"/>
      <c r="AF17" s="140"/>
    </row>
    <row r="18" spans="1:35">
      <c r="A18" s="8">
        <v>14</v>
      </c>
      <c r="B18" s="3">
        <v>44274</v>
      </c>
      <c r="C18" s="4">
        <v>0.74129629629629601</v>
      </c>
      <c r="D18" s="5">
        <v>-7.78</v>
      </c>
      <c r="E18" s="5">
        <v>106.969999999999</v>
      </c>
      <c r="F18" s="6">
        <v>25</v>
      </c>
      <c r="G18" s="7">
        <v>3.1</v>
      </c>
      <c r="M18" s="122" t="s">
        <v>16</v>
      </c>
      <c r="N18" s="123"/>
      <c r="O18" s="123"/>
      <c r="P18" s="123"/>
      <c r="Q18" s="124"/>
      <c r="Z18" s="56">
        <v>4.5</v>
      </c>
      <c r="AA18" s="47">
        <v>2.8</v>
      </c>
      <c r="AB18" s="29">
        <v>0.13859292911257254</v>
      </c>
      <c r="AC18" s="50">
        <f t="shared" si="0"/>
        <v>2.8900000000000006</v>
      </c>
      <c r="AD18" s="59">
        <f t="shared" si="10"/>
        <v>1.4450000000000003</v>
      </c>
      <c r="AE18" s="137"/>
      <c r="AF18" s="140"/>
    </row>
    <row r="19" spans="1:35">
      <c r="A19" s="8">
        <v>15</v>
      </c>
      <c r="B19" s="3">
        <v>44274</v>
      </c>
      <c r="C19" s="4">
        <v>0.22549768518518501</v>
      </c>
      <c r="D19" s="5">
        <v>-7.73</v>
      </c>
      <c r="E19" s="5">
        <v>106.92</v>
      </c>
      <c r="F19" s="6">
        <v>25</v>
      </c>
      <c r="G19" s="7">
        <v>2.8</v>
      </c>
      <c r="M19" s="8"/>
      <c r="N19" s="121" t="s">
        <v>22</v>
      </c>
      <c r="O19" s="121"/>
      <c r="P19" s="121"/>
      <c r="Q19" s="8"/>
      <c r="Y19" s="9" t="s">
        <v>31</v>
      </c>
      <c r="Z19" s="54">
        <v>3.1</v>
      </c>
      <c r="AA19" s="60">
        <v>2.8</v>
      </c>
      <c r="AB19" s="33">
        <v>0.1941648783903043</v>
      </c>
      <c r="AC19" s="52">
        <f t="shared" si="0"/>
        <v>9.0000000000000163E-2</v>
      </c>
      <c r="AD19" s="59">
        <f t="shared" si="10"/>
        <v>4.5000000000000082E-2</v>
      </c>
      <c r="AE19" s="138"/>
      <c r="AF19" s="140"/>
    </row>
    <row r="20" spans="1:35">
      <c r="A20" s="8">
        <v>16</v>
      </c>
      <c r="B20" s="3">
        <v>44275</v>
      </c>
      <c r="C20" s="4">
        <v>0.75657407407407395</v>
      </c>
      <c r="D20" s="5">
        <v>-7.82</v>
      </c>
      <c r="E20" s="5">
        <v>107.26</v>
      </c>
      <c r="F20" s="6">
        <v>23</v>
      </c>
      <c r="G20" s="7">
        <v>4.0999999999999996</v>
      </c>
      <c r="M20" s="8"/>
      <c r="N20" s="20" t="s">
        <v>17</v>
      </c>
      <c r="O20" s="25" t="s">
        <v>18</v>
      </c>
      <c r="P20" s="20" t="s">
        <v>19</v>
      </c>
      <c r="Q20" s="20" t="s">
        <v>20</v>
      </c>
      <c r="Z20" s="56">
        <v>2.7</v>
      </c>
      <c r="AA20" s="47">
        <v>2.2000000000000002</v>
      </c>
      <c r="AB20" s="29">
        <v>0.28635642126461563</v>
      </c>
      <c r="AC20" s="50">
        <f t="shared" si="0"/>
        <v>0.25</v>
      </c>
      <c r="AD20" s="59">
        <f t="shared" si="10"/>
        <v>0.125</v>
      </c>
      <c r="AE20" s="136">
        <f>AVERAGE(AB20:AB26)</f>
        <v>0.34303186412795156</v>
      </c>
      <c r="AF20" s="140">
        <v>0.3</v>
      </c>
    </row>
    <row r="21" spans="1:35">
      <c r="A21" s="8">
        <v>17</v>
      </c>
      <c r="B21" s="3">
        <v>44276</v>
      </c>
      <c r="C21" s="4">
        <v>0.28738425925925898</v>
      </c>
      <c r="D21" s="5">
        <v>-7.73</v>
      </c>
      <c r="E21" s="5">
        <v>106.95</v>
      </c>
      <c r="F21" s="6">
        <v>28</v>
      </c>
      <c r="G21" s="7">
        <v>2.9</v>
      </c>
      <c r="L21" s="9"/>
      <c r="M21" s="8">
        <v>1</v>
      </c>
      <c r="N21" s="8">
        <v>0</v>
      </c>
      <c r="O21" s="8">
        <v>0</v>
      </c>
      <c r="P21" s="8">
        <v>0</v>
      </c>
      <c r="Q21" s="8">
        <v>0</v>
      </c>
      <c r="Y21" s="9" t="s">
        <v>29</v>
      </c>
      <c r="Z21" s="54">
        <v>3.2</v>
      </c>
      <c r="AA21" s="66">
        <v>2.2000000000000002</v>
      </c>
      <c r="AB21" s="33">
        <v>0.31144823004727346</v>
      </c>
      <c r="AC21" s="52">
        <f t="shared" si="0"/>
        <v>1</v>
      </c>
      <c r="AD21" s="59">
        <f t="shared" si="10"/>
        <v>0.5</v>
      </c>
      <c r="AE21" s="137"/>
      <c r="AF21" s="140"/>
    </row>
    <row r="22" spans="1:35">
      <c r="A22" s="8">
        <v>18</v>
      </c>
      <c r="B22" s="3">
        <v>44280</v>
      </c>
      <c r="C22" s="4">
        <v>0.682997685185185</v>
      </c>
      <c r="D22" s="5">
        <v>-7.84</v>
      </c>
      <c r="E22" s="5">
        <v>107.269999999999</v>
      </c>
      <c r="F22" s="6">
        <v>28</v>
      </c>
      <c r="G22" s="7">
        <v>3.4</v>
      </c>
      <c r="L22" s="9"/>
      <c r="M22" s="8">
        <v>2</v>
      </c>
      <c r="N22" s="8">
        <f>($N$16/(10-$M$21))*(M22-$M$21)</f>
        <v>0.11996398636548607</v>
      </c>
      <c r="O22" s="8">
        <f t="shared" ref="O22:O30" si="12">N22-N21</f>
        <v>0.11996398636548607</v>
      </c>
      <c r="P22" s="8">
        <f t="shared" ref="P22:P30" si="13">N22-(O22/2)</f>
        <v>5.9981993182743033E-2</v>
      </c>
      <c r="Q22" s="8">
        <f t="shared" ref="Q22:Q30" si="14">N22+(O22/2)</f>
        <v>0.17994597954822911</v>
      </c>
      <c r="Z22" s="55">
        <v>3.2</v>
      </c>
      <c r="AA22" s="43">
        <v>3.5</v>
      </c>
      <c r="AB22" s="28">
        <v>0.33837848631377154</v>
      </c>
      <c r="AC22" s="49">
        <f t="shared" si="0"/>
        <v>8.99999999999999E-2</v>
      </c>
      <c r="AD22" s="59">
        <f t="shared" si="10"/>
        <v>4.499999999999995E-2</v>
      </c>
      <c r="AE22" s="137"/>
      <c r="AF22" s="140"/>
    </row>
    <row r="23" spans="1:35">
      <c r="A23" s="8">
        <v>19</v>
      </c>
      <c r="B23" s="3">
        <v>44281</v>
      </c>
      <c r="C23" s="4">
        <v>0.64665509259259302</v>
      </c>
      <c r="D23" s="5">
        <v>-7.11</v>
      </c>
      <c r="E23" s="5">
        <v>107.42</v>
      </c>
      <c r="F23" s="6">
        <v>10</v>
      </c>
      <c r="G23" s="7">
        <v>2.7</v>
      </c>
      <c r="L23" s="9"/>
      <c r="M23" s="8">
        <v>3</v>
      </c>
      <c r="N23" s="8">
        <f t="shared" ref="N23:N30" si="15">($N$16/(10-$M$21))*(M23-$M$21)</f>
        <v>0.23992797273097213</v>
      </c>
      <c r="O23" s="8">
        <f t="shared" si="12"/>
        <v>0.11996398636548607</v>
      </c>
      <c r="P23" s="8">
        <f t="shared" si="13"/>
        <v>0.17994597954822911</v>
      </c>
      <c r="Q23" s="8">
        <f t="shared" si="14"/>
        <v>0.29990996591371516</v>
      </c>
      <c r="Z23" s="55">
        <v>2.7</v>
      </c>
      <c r="AA23" s="43">
        <v>3.2</v>
      </c>
      <c r="AB23" s="28">
        <v>0.35355339059327301</v>
      </c>
      <c r="AC23" s="49">
        <f t="shared" si="0"/>
        <v>0.25</v>
      </c>
      <c r="AD23" s="59">
        <f t="shared" si="10"/>
        <v>0.125</v>
      </c>
      <c r="AE23" s="137"/>
      <c r="AF23" s="140"/>
      <c r="AH23" s="139" t="s">
        <v>85</v>
      </c>
      <c r="AI23" s="139"/>
    </row>
    <row r="24" spans="1:35">
      <c r="A24" s="8">
        <v>20</v>
      </c>
      <c r="B24" s="3">
        <v>44281</v>
      </c>
      <c r="C24" s="4">
        <v>0.13204861111111099</v>
      </c>
      <c r="D24" s="5">
        <v>-7.59</v>
      </c>
      <c r="E24" s="5">
        <v>106.769999999999</v>
      </c>
      <c r="F24" s="6">
        <v>35</v>
      </c>
      <c r="G24" s="7">
        <v>2.8</v>
      </c>
      <c r="L24" s="9"/>
      <c r="M24" s="8">
        <v>4</v>
      </c>
      <c r="N24" s="8">
        <f t="shared" si="15"/>
        <v>0.35989195909645821</v>
      </c>
      <c r="O24" s="8">
        <f t="shared" si="12"/>
        <v>0.11996398636548608</v>
      </c>
      <c r="P24" s="8">
        <f t="shared" si="13"/>
        <v>0.29990996591371516</v>
      </c>
      <c r="Q24" s="8">
        <f t="shared" si="14"/>
        <v>0.41987395227920127</v>
      </c>
      <c r="Z24" s="55">
        <v>2.2000000000000002</v>
      </c>
      <c r="AA24" s="43">
        <v>4.5</v>
      </c>
      <c r="AB24" s="28">
        <v>0.35850801943610949</v>
      </c>
      <c r="AC24" s="49">
        <f t="shared" si="0"/>
        <v>5.2899999999999991</v>
      </c>
      <c r="AD24" s="59">
        <f t="shared" si="10"/>
        <v>2.6449999999999996</v>
      </c>
      <c r="AE24" s="137"/>
      <c r="AF24" s="140"/>
    </row>
    <row r="25" spans="1:35">
      <c r="A25" s="8">
        <v>21</v>
      </c>
      <c r="B25" s="3">
        <v>44284</v>
      </c>
      <c r="C25" s="4">
        <v>0.69548611111111103</v>
      </c>
      <c r="D25" s="5">
        <v>-7.48</v>
      </c>
      <c r="E25" s="5">
        <v>106.73</v>
      </c>
      <c r="F25" s="6">
        <v>34</v>
      </c>
      <c r="G25" s="7">
        <v>2.9</v>
      </c>
      <c r="L25" s="9"/>
      <c r="M25" s="8">
        <v>5</v>
      </c>
      <c r="N25" s="8">
        <f t="shared" si="15"/>
        <v>0.47985594546194427</v>
      </c>
      <c r="O25" s="8">
        <f t="shared" si="12"/>
        <v>0.11996398636548605</v>
      </c>
      <c r="P25" s="8">
        <f t="shared" si="13"/>
        <v>0.41987395227920121</v>
      </c>
      <c r="Q25" s="8">
        <f t="shared" si="14"/>
        <v>0.53983793864468732</v>
      </c>
      <c r="Z25" s="55">
        <v>2.2000000000000002</v>
      </c>
      <c r="AA25" s="43">
        <v>3.1</v>
      </c>
      <c r="AB25" s="28">
        <v>0.36400549446438535</v>
      </c>
      <c r="AC25" s="49">
        <f t="shared" si="0"/>
        <v>0.80999999999999983</v>
      </c>
      <c r="AD25" s="59">
        <f t="shared" si="10"/>
        <v>0.40499999999999992</v>
      </c>
      <c r="AE25" s="137"/>
      <c r="AF25" s="140"/>
    </row>
    <row r="26" spans="1:35">
      <c r="A26" s="8">
        <v>22</v>
      </c>
      <c r="B26" s="3">
        <v>44285</v>
      </c>
      <c r="C26" s="4">
        <v>0.54890046296296302</v>
      </c>
      <c r="D26" s="5">
        <v>-7.69</v>
      </c>
      <c r="E26" s="5">
        <v>106.59</v>
      </c>
      <c r="F26" s="6">
        <v>28</v>
      </c>
      <c r="G26" s="7">
        <v>2.8</v>
      </c>
      <c r="M26" s="8">
        <v>6</v>
      </c>
      <c r="N26" s="8">
        <f t="shared" si="15"/>
        <v>0.59981993182743032</v>
      </c>
      <c r="O26" s="8">
        <f t="shared" si="12"/>
        <v>0.11996398636548605</v>
      </c>
      <c r="P26" s="8">
        <f t="shared" si="13"/>
        <v>0.53983793864468732</v>
      </c>
      <c r="Q26" s="8">
        <f t="shared" si="14"/>
        <v>0.65980192501017332</v>
      </c>
      <c r="Z26" s="55">
        <v>3.5</v>
      </c>
      <c r="AA26" s="43">
        <v>2.8</v>
      </c>
      <c r="AB26" s="28">
        <v>0.38897300677623226</v>
      </c>
      <c r="AC26" s="49">
        <f t="shared" si="0"/>
        <v>0.49000000000000027</v>
      </c>
      <c r="AD26" s="59">
        <f t="shared" si="10"/>
        <v>0.24500000000000013</v>
      </c>
      <c r="AE26" s="138"/>
      <c r="AF26" s="140"/>
    </row>
    <row r="27" spans="1:35">
      <c r="A27" s="8">
        <v>23</v>
      </c>
      <c r="B27" s="3">
        <v>44285</v>
      </c>
      <c r="C27" s="4">
        <v>0.50138888888888899</v>
      </c>
      <c r="D27" s="5">
        <v>-7</v>
      </c>
      <c r="E27" s="5">
        <v>106.56</v>
      </c>
      <c r="F27" s="6">
        <v>128</v>
      </c>
      <c r="G27" s="7">
        <v>3.4</v>
      </c>
      <c r="M27" s="8">
        <v>7</v>
      </c>
      <c r="N27" s="8">
        <f t="shared" si="15"/>
        <v>0.71978391819291643</v>
      </c>
      <c r="O27" s="8">
        <f t="shared" si="12"/>
        <v>0.11996398636548611</v>
      </c>
      <c r="P27" s="8">
        <f t="shared" si="13"/>
        <v>0.65980192501017343</v>
      </c>
      <c r="Q27" s="8">
        <f t="shared" si="14"/>
        <v>0.77976591137565943</v>
      </c>
      <c r="Z27" s="55">
        <v>2.7</v>
      </c>
      <c r="AA27" s="43">
        <v>4.5</v>
      </c>
      <c r="AB27" s="28">
        <v>0.40175614494286138</v>
      </c>
      <c r="AC27" s="49">
        <f t="shared" si="0"/>
        <v>3.2399999999999993</v>
      </c>
      <c r="AD27" s="59">
        <f t="shared" si="10"/>
        <v>1.6199999999999997</v>
      </c>
      <c r="AE27" s="136">
        <f>AVERAGE(AB27:AB36)</f>
        <v>0.46090662319660441</v>
      </c>
      <c r="AF27" s="140">
        <v>0.5</v>
      </c>
    </row>
    <row r="28" spans="1:35">
      <c r="A28" s="8">
        <v>24</v>
      </c>
      <c r="B28" s="3">
        <v>44320</v>
      </c>
      <c r="C28" s="4">
        <v>0.58545138888888892</v>
      </c>
      <c r="D28" s="5">
        <v>-6.992</v>
      </c>
      <c r="E28" s="5">
        <v>106.721</v>
      </c>
      <c r="F28" s="6">
        <v>72.2</v>
      </c>
      <c r="G28" s="7">
        <v>4.5</v>
      </c>
      <c r="M28" s="8">
        <v>8</v>
      </c>
      <c r="N28" s="8">
        <f t="shared" si="15"/>
        <v>0.83974790455840242</v>
      </c>
      <c r="O28" s="8">
        <f t="shared" si="12"/>
        <v>0.119963986365486</v>
      </c>
      <c r="P28" s="8">
        <f t="shared" si="13"/>
        <v>0.77976591137565943</v>
      </c>
      <c r="Q28" s="8">
        <f t="shared" si="14"/>
        <v>0.89972989774114542</v>
      </c>
      <c r="Z28" s="55">
        <v>2.7</v>
      </c>
      <c r="AA28" s="43">
        <v>2.8</v>
      </c>
      <c r="AB28" s="28">
        <v>0.40224370722180075</v>
      </c>
      <c r="AC28" s="49">
        <f t="shared" si="0"/>
        <v>9.9999999999999291E-3</v>
      </c>
      <c r="AD28" s="59">
        <f t="shared" si="10"/>
        <v>4.9999999999999645E-3</v>
      </c>
      <c r="AE28" s="137"/>
      <c r="AF28" s="140"/>
    </row>
    <row r="29" spans="1:35">
      <c r="A29" s="8">
        <v>25</v>
      </c>
      <c r="B29" s="3">
        <v>44301</v>
      </c>
      <c r="C29" s="4">
        <v>0.90038194444444397</v>
      </c>
      <c r="D29" s="5">
        <v>-7.52</v>
      </c>
      <c r="E29" s="5">
        <v>106.409999999999</v>
      </c>
      <c r="F29" s="6">
        <v>67</v>
      </c>
      <c r="G29" s="7">
        <v>4.3</v>
      </c>
      <c r="M29" s="8">
        <v>9</v>
      </c>
      <c r="N29" s="8">
        <f t="shared" si="15"/>
        <v>0.95971189092388853</v>
      </c>
      <c r="O29" s="8">
        <f t="shared" si="12"/>
        <v>0.11996398636548611</v>
      </c>
      <c r="P29" s="8">
        <f t="shared" si="13"/>
        <v>0.89972989774114542</v>
      </c>
      <c r="Q29" s="8">
        <f t="shared" si="14"/>
        <v>1.0196938841066316</v>
      </c>
      <c r="Z29" s="55">
        <v>3.1</v>
      </c>
      <c r="AA29" s="43">
        <v>3.5</v>
      </c>
      <c r="AB29" s="28">
        <v>0.40521599178709572</v>
      </c>
      <c r="AC29" s="49">
        <f t="shared" si="0"/>
        <v>0.15999999999999992</v>
      </c>
      <c r="AD29" s="59">
        <f t="shared" si="10"/>
        <v>7.999999999999996E-2</v>
      </c>
      <c r="AE29" s="137"/>
      <c r="AF29" s="140"/>
    </row>
    <row r="30" spans="1:35">
      <c r="A30" s="8">
        <v>26</v>
      </c>
      <c r="B30" s="3">
        <v>44301</v>
      </c>
      <c r="C30" s="4">
        <v>0.52009259259259299</v>
      </c>
      <c r="D30" s="5">
        <v>-7.35</v>
      </c>
      <c r="E30" s="5">
        <v>107.319999999999</v>
      </c>
      <c r="F30" s="6">
        <v>129</v>
      </c>
      <c r="G30" s="7">
        <v>2.6</v>
      </c>
      <c r="M30" s="8">
        <v>10</v>
      </c>
      <c r="N30" s="8">
        <f t="shared" si="15"/>
        <v>1.0796758772893746</v>
      </c>
      <c r="O30" s="8">
        <f t="shared" si="12"/>
        <v>0.11996398636548611</v>
      </c>
      <c r="P30" s="8">
        <f t="shared" si="13"/>
        <v>1.0196938841066316</v>
      </c>
      <c r="Q30" s="8">
        <f t="shared" si="14"/>
        <v>1.1396578704721176</v>
      </c>
      <c r="Z30" s="56">
        <v>3.5</v>
      </c>
      <c r="AA30" s="47">
        <v>4.5</v>
      </c>
      <c r="AB30" s="29">
        <v>0.4152926678865656</v>
      </c>
      <c r="AC30" s="50">
        <f t="shared" si="0"/>
        <v>1</v>
      </c>
      <c r="AD30" s="59">
        <f t="shared" si="10"/>
        <v>0.5</v>
      </c>
      <c r="AE30" s="137"/>
      <c r="AF30" s="140"/>
    </row>
    <row r="31" spans="1:35">
      <c r="A31" s="8">
        <v>27</v>
      </c>
      <c r="B31" s="3">
        <v>44306</v>
      </c>
      <c r="C31" s="4">
        <v>0.15539351851851901</v>
      </c>
      <c r="D31" s="5">
        <v>-7.1</v>
      </c>
      <c r="E31" s="5">
        <v>107.28</v>
      </c>
      <c r="F31" s="6">
        <v>185</v>
      </c>
      <c r="G31" s="7">
        <v>2.2999999999999998</v>
      </c>
      <c r="N31" s="26"/>
      <c r="O31" s="26"/>
      <c r="P31" s="26"/>
      <c r="Q31" s="26"/>
      <c r="R31" s="26"/>
      <c r="Y31" s="9" t="s">
        <v>30</v>
      </c>
      <c r="Z31" s="54">
        <v>2.7</v>
      </c>
      <c r="AA31" s="60">
        <v>3.1</v>
      </c>
      <c r="AB31" s="33">
        <v>0.44777226354476307</v>
      </c>
      <c r="AC31" s="52">
        <f t="shared" si="0"/>
        <v>0.15999999999999992</v>
      </c>
      <c r="AD31" s="59">
        <f t="shared" si="10"/>
        <v>7.999999999999996E-2</v>
      </c>
      <c r="AE31" s="137"/>
      <c r="AF31" s="140"/>
      <c r="AH31" s="132" t="s">
        <v>86</v>
      </c>
      <c r="AI31" s="133"/>
    </row>
    <row r="32" spans="1:35">
      <c r="A32" s="8">
        <v>28</v>
      </c>
      <c r="B32" s="3">
        <v>44307</v>
      </c>
      <c r="C32" s="4">
        <v>0.83523148148148196</v>
      </c>
      <c r="D32" s="5">
        <v>-7.63</v>
      </c>
      <c r="E32" s="5">
        <v>106.68</v>
      </c>
      <c r="F32" s="6">
        <v>25</v>
      </c>
      <c r="G32" s="7">
        <v>3.9</v>
      </c>
      <c r="N32" s="63"/>
      <c r="O32" s="63"/>
      <c r="P32" s="63"/>
      <c r="Q32" s="63"/>
      <c r="R32" s="63"/>
      <c r="Z32" s="55">
        <v>2.2000000000000002</v>
      </c>
      <c r="AA32" s="43">
        <v>2.8</v>
      </c>
      <c r="AB32" s="28">
        <v>0.45099889135118748</v>
      </c>
      <c r="AC32" s="49">
        <f t="shared" si="0"/>
        <v>0.3599999999999996</v>
      </c>
      <c r="AD32" s="59">
        <f t="shared" si="10"/>
        <v>0.1799999999999998</v>
      </c>
      <c r="AE32" s="137"/>
      <c r="AF32" s="140"/>
    </row>
    <row r="33" spans="1:35">
      <c r="A33" s="8">
        <v>29</v>
      </c>
      <c r="B33" s="3">
        <v>44308</v>
      </c>
      <c r="C33" s="4">
        <v>0.100532407407407</v>
      </c>
      <c r="D33" s="5">
        <v>-7.09</v>
      </c>
      <c r="E33" s="5">
        <v>106.78</v>
      </c>
      <c r="F33" s="6">
        <v>129</v>
      </c>
      <c r="G33" s="7">
        <v>3.2</v>
      </c>
      <c r="N33" s="27"/>
      <c r="O33" s="27"/>
      <c r="P33" s="44"/>
      <c r="Q33" s="44"/>
      <c r="R33" s="44"/>
      <c r="Z33" s="55">
        <v>3.2</v>
      </c>
      <c r="AA33" s="43">
        <v>2.7</v>
      </c>
      <c r="AB33" s="28">
        <v>0.45276925690687242</v>
      </c>
      <c r="AC33" s="49">
        <f t="shared" si="0"/>
        <v>0.25</v>
      </c>
      <c r="AD33" s="59">
        <f t="shared" si="10"/>
        <v>0.125</v>
      </c>
      <c r="AE33" s="137"/>
      <c r="AF33" s="140"/>
    </row>
    <row r="34" spans="1:35">
      <c r="A34" s="8">
        <v>30</v>
      </c>
      <c r="B34" s="3">
        <v>44310</v>
      </c>
      <c r="C34" s="4">
        <v>0.763969907407407</v>
      </c>
      <c r="D34" s="5">
        <v>-7.31</v>
      </c>
      <c r="E34" s="5">
        <v>108.62</v>
      </c>
      <c r="F34" s="6">
        <v>10</v>
      </c>
      <c r="G34" s="7">
        <v>2.2000000000000002</v>
      </c>
      <c r="N34" s="27"/>
      <c r="O34" s="27"/>
      <c r="P34" s="44"/>
      <c r="Q34" s="44"/>
      <c r="R34" s="44"/>
      <c r="Z34" s="56">
        <v>3.2</v>
      </c>
      <c r="AA34" s="47">
        <v>2.2000000000000002</v>
      </c>
      <c r="AB34" s="29">
        <v>0.45276925690698211</v>
      </c>
      <c r="AC34" s="57">
        <f t="shared" si="0"/>
        <v>1</v>
      </c>
      <c r="AD34" s="59">
        <f t="shared" si="10"/>
        <v>0.5</v>
      </c>
      <c r="AE34" s="137"/>
      <c r="AF34" s="140"/>
    </row>
    <row r="35" spans="1:35">
      <c r="A35" s="8">
        <v>31</v>
      </c>
      <c r="B35" s="3">
        <v>44310</v>
      </c>
      <c r="C35" s="4">
        <v>0.93601851851851903</v>
      </c>
      <c r="D35" s="5">
        <v>-7.27</v>
      </c>
      <c r="E35" s="5">
        <v>107.719999999999</v>
      </c>
      <c r="F35" s="6">
        <v>10</v>
      </c>
      <c r="G35" s="7">
        <v>2.9</v>
      </c>
      <c r="N35" s="27"/>
      <c r="O35" s="61"/>
      <c r="P35" s="44"/>
      <c r="Q35" s="44"/>
      <c r="R35" s="44"/>
      <c r="Y35" s="9" t="s">
        <v>33</v>
      </c>
      <c r="Z35" s="54">
        <v>3.2</v>
      </c>
      <c r="AA35" s="60">
        <v>2.8</v>
      </c>
      <c r="AB35" s="33">
        <v>0.58821764679328947</v>
      </c>
      <c r="AC35" s="52">
        <f t="shared" ref="AC35:AC57" si="16">(Z35-AA35)^2</f>
        <v>0.16000000000000028</v>
      </c>
      <c r="AD35" s="59">
        <f t="shared" si="10"/>
        <v>8.000000000000014E-2</v>
      </c>
      <c r="AE35" s="137"/>
      <c r="AF35" s="140"/>
    </row>
    <row r="36" spans="1:35">
      <c r="A36" s="8">
        <v>32</v>
      </c>
      <c r="B36" s="3">
        <v>44313</v>
      </c>
      <c r="C36" s="4">
        <v>0.61944444444444402</v>
      </c>
      <c r="D36" s="5">
        <v>-6.8</v>
      </c>
      <c r="E36" s="5">
        <v>107.129999999999</v>
      </c>
      <c r="F36" s="6">
        <v>10</v>
      </c>
      <c r="G36" s="7">
        <v>3.2</v>
      </c>
      <c r="N36" s="27"/>
      <c r="O36" s="27"/>
      <c r="P36" s="44"/>
      <c r="Q36" s="44"/>
      <c r="R36" s="44"/>
      <c r="Z36" s="55">
        <v>3.6</v>
      </c>
      <c r="AA36" s="43">
        <v>2.8</v>
      </c>
      <c r="AB36" s="28">
        <v>0.59203040462462664</v>
      </c>
      <c r="AC36" s="49">
        <f t="shared" si="16"/>
        <v>0.64000000000000046</v>
      </c>
      <c r="AD36" s="59">
        <f t="shared" si="10"/>
        <v>0.32000000000000023</v>
      </c>
      <c r="AE36" s="138"/>
      <c r="AF36" s="140"/>
    </row>
    <row r="37" spans="1:35">
      <c r="A37" s="8">
        <v>33</v>
      </c>
      <c r="B37" s="3">
        <v>44313</v>
      </c>
      <c r="C37" s="4">
        <v>0.241458333333333</v>
      </c>
      <c r="D37" s="5">
        <v>-6.95</v>
      </c>
      <c r="E37" s="5">
        <v>106.989999999999</v>
      </c>
      <c r="F37" s="6">
        <v>10</v>
      </c>
      <c r="G37" s="7">
        <v>3</v>
      </c>
      <c r="N37" s="27"/>
      <c r="O37" s="27"/>
      <c r="P37" s="44"/>
      <c r="Q37" s="44"/>
      <c r="R37" s="44"/>
      <c r="Z37" s="55">
        <v>3.2</v>
      </c>
      <c r="AA37" s="65">
        <v>4.5</v>
      </c>
      <c r="AB37" s="28">
        <v>0.64498682157037124</v>
      </c>
      <c r="AC37" s="49">
        <f t="shared" si="16"/>
        <v>1.6899999999999995</v>
      </c>
      <c r="AD37" s="59">
        <f t="shared" si="10"/>
        <v>0.84499999999999975</v>
      </c>
      <c r="AE37" s="136">
        <f>AVERAGE(AB37:AB52)</f>
        <v>0.72346103560837949</v>
      </c>
      <c r="AF37" s="140">
        <v>0.7</v>
      </c>
      <c r="AH37" s="132" t="s">
        <v>87</v>
      </c>
      <c r="AI37" s="133"/>
    </row>
    <row r="38" spans="1:35">
      <c r="A38" s="8">
        <v>34</v>
      </c>
      <c r="B38" s="3">
        <v>44315</v>
      </c>
      <c r="C38" s="4">
        <v>0.73792824074074104</v>
      </c>
      <c r="D38" s="5">
        <v>-7.69</v>
      </c>
      <c r="E38" s="5">
        <v>106.95</v>
      </c>
      <c r="F38" s="6">
        <v>26</v>
      </c>
      <c r="G38" s="7">
        <v>2.4</v>
      </c>
      <c r="N38" s="27"/>
      <c r="O38" s="27"/>
      <c r="P38" s="44"/>
      <c r="Q38" s="44"/>
      <c r="R38" s="44"/>
      <c r="Z38" s="55">
        <v>3.2</v>
      </c>
      <c r="AA38" s="43">
        <v>3.2</v>
      </c>
      <c r="AB38" s="28">
        <v>0.65513357416636986</v>
      </c>
      <c r="AC38" s="49">
        <f t="shared" si="16"/>
        <v>0</v>
      </c>
      <c r="AD38" s="59">
        <f t="shared" si="10"/>
        <v>0</v>
      </c>
      <c r="AE38" s="137"/>
      <c r="AF38" s="140"/>
    </row>
    <row r="39" spans="1:35">
      <c r="A39" s="8">
        <v>35</v>
      </c>
      <c r="B39" s="3">
        <v>44315</v>
      </c>
      <c r="C39" s="4">
        <v>1.26967592592593E-2</v>
      </c>
      <c r="D39" s="5">
        <v>-7</v>
      </c>
      <c r="E39" s="5">
        <v>107.68</v>
      </c>
      <c r="F39" s="6">
        <v>142</v>
      </c>
      <c r="G39" s="7">
        <v>3</v>
      </c>
      <c r="N39" s="27"/>
      <c r="O39" s="27"/>
      <c r="P39" s="44"/>
      <c r="Q39" s="44"/>
      <c r="R39" s="44"/>
      <c r="Z39" s="56">
        <v>3.2</v>
      </c>
      <c r="AA39" s="47">
        <v>3.6</v>
      </c>
      <c r="AB39" s="29">
        <v>0.65734313718263382</v>
      </c>
      <c r="AC39" s="50">
        <f t="shared" si="16"/>
        <v>0.15999999999999992</v>
      </c>
      <c r="AD39" s="59">
        <f t="shared" si="10"/>
        <v>7.999999999999996E-2</v>
      </c>
      <c r="AE39" s="137"/>
      <c r="AF39" s="140"/>
    </row>
    <row r="40" spans="1:35">
      <c r="A40" s="8">
        <v>36</v>
      </c>
      <c r="B40" s="3">
        <v>44315</v>
      </c>
      <c r="C40" s="4">
        <v>0.37664351851851902</v>
      </c>
      <c r="D40" s="5">
        <v>-6.9</v>
      </c>
      <c r="E40" s="5">
        <v>106.39</v>
      </c>
      <c r="F40" s="6">
        <v>15</v>
      </c>
      <c r="G40" s="7">
        <v>2.9</v>
      </c>
      <c r="N40" s="27"/>
      <c r="O40" s="27"/>
      <c r="P40" s="44"/>
      <c r="Q40" s="44"/>
      <c r="R40" s="44"/>
      <c r="Y40" s="9" t="s">
        <v>32</v>
      </c>
      <c r="Z40" s="54">
        <v>3.2</v>
      </c>
      <c r="AA40" s="66">
        <v>3.1</v>
      </c>
      <c r="AB40" s="33">
        <v>0.66370174024180661</v>
      </c>
      <c r="AC40" s="52">
        <f t="shared" si="16"/>
        <v>1.0000000000000018E-2</v>
      </c>
      <c r="AD40" s="59">
        <f t="shared" si="10"/>
        <v>5.0000000000000088E-3</v>
      </c>
      <c r="AE40" s="137"/>
      <c r="AF40" s="140"/>
    </row>
    <row r="41" spans="1:35">
      <c r="A41" s="8">
        <v>37</v>
      </c>
      <c r="B41" s="3">
        <v>44316</v>
      </c>
      <c r="C41" s="4">
        <v>0.580740740740741</v>
      </c>
      <c r="D41" s="5">
        <v>-7.82</v>
      </c>
      <c r="E41" s="5">
        <v>107.019999999999</v>
      </c>
      <c r="F41" s="6">
        <v>21</v>
      </c>
      <c r="G41" s="7">
        <v>3.3</v>
      </c>
      <c r="N41" s="27"/>
      <c r="O41" s="27"/>
      <c r="P41" s="44"/>
      <c r="Q41" s="44"/>
      <c r="R41" s="44"/>
      <c r="Z41" s="55">
        <v>3.2</v>
      </c>
      <c r="AA41" s="67">
        <v>2.8</v>
      </c>
      <c r="AB41" s="28">
        <v>0.70342021580250225</v>
      </c>
      <c r="AC41" s="49">
        <f t="shared" si="16"/>
        <v>0.16000000000000028</v>
      </c>
      <c r="AD41" s="59">
        <f t="shared" si="10"/>
        <v>8.000000000000014E-2</v>
      </c>
      <c r="AE41" s="137"/>
      <c r="AF41" s="140"/>
    </row>
    <row r="42" spans="1:35">
      <c r="A42" s="8">
        <v>38</v>
      </c>
      <c r="B42" s="3">
        <v>44316</v>
      </c>
      <c r="C42" s="4">
        <v>0.72763888888888895</v>
      </c>
      <c r="D42" s="5">
        <v>-7.56</v>
      </c>
      <c r="E42" s="5">
        <v>106.439999999999</v>
      </c>
      <c r="F42" s="6">
        <v>33</v>
      </c>
      <c r="G42" s="7">
        <v>3.3</v>
      </c>
      <c r="N42" s="27"/>
      <c r="O42" s="27"/>
      <c r="P42" s="44"/>
      <c r="Q42" s="44"/>
      <c r="R42" s="44"/>
      <c r="Z42" s="55">
        <v>2.7</v>
      </c>
      <c r="AA42" s="43">
        <v>3.2</v>
      </c>
      <c r="AB42" s="28">
        <v>0.71512236715124489</v>
      </c>
      <c r="AC42" s="49">
        <f t="shared" si="16"/>
        <v>0.25</v>
      </c>
      <c r="AD42" s="59">
        <f t="shared" si="10"/>
        <v>0.125</v>
      </c>
      <c r="AE42" s="137"/>
      <c r="AF42" s="140"/>
    </row>
    <row r="43" spans="1:35">
      <c r="A43" s="8">
        <v>39</v>
      </c>
      <c r="B43" s="3">
        <v>44316</v>
      </c>
      <c r="C43" s="4">
        <v>0.156516203703704</v>
      </c>
      <c r="D43" s="5">
        <v>-7.14</v>
      </c>
      <c r="E43" s="5">
        <v>108.849999999999</v>
      </c>
      <c r="F43" s="6">
        <v>10</v>
      </c>
      <c r="G43" s="7">
        <v>3.2</v>
      </c>
      <c r="N43" s="27"/>
      <c r="O43" s="27"/>
      <c r="P43" s="62"/>
      <c r="Q43" s="51"/>
      <c r="R43" s="62"/>
      <c r="Z43" s="55">
        <v>3.2</v>
      </c>
      <c r="AA43" s="43">
        <v>4.5</v>
      </c>
      <c r="AB43" s="28">
        <v>0.72520893541023967</v>
      </c>
      <c r="AC43" s="49">
        <f t="shared" si="16"/>
        <v>1.6899999999999995</v>
      </c>
      <c r="AD43" s="59">
        <f t="shared" si="10"/>
        <v>0.84499999999999975</v>
      </c>
      <c r="AE43" s="137"/>
      <c r="AF43" s="140"/>
    </row>
    <row r="44" spans="1:35">
      <c r="A44" s="8">
        <v>40</v>
      </c>
      <c r="B44" s="3">
        <v>44317</v>
      </c>
      <c r="C44" s="4">
        <v>0.33814814814814798</v>
      </c>
      <c r="D44" s="5">
        <v>-7.82</v>
      </c>
      <c r="E44" s="5">
        <v>107.04</v>
      </c>
      <c r="F44" s="6">
        <v>12</v>
      </c>
      <c r="G44" s="7">
        <v>2.9</v>
      </c>
      <c r="N44" s="27"/>
      <c r="O44" s="27"/>
      <c r="P44" s="62"/>
      <c r="Q44" s="51"/>
      <c r="R44" s="62"/>
      <c r="Z44" s="55">
        <v>3.2</v>
      </c>
      <c r="AA44" s="43">
        <v>3.2</v>
      </c>
      <c r="AB44" s="28">
        <v>0.72801098892805338</v>
      </c>
      <c r="AC44" s="49">
        <f t="shared" si="16"/>
        <v>0</v>
      </c>
      <c r="AD44" s="59">
        <f t="shared" si="10"/>
        <v>0</v>
      </c>
      <c r="AE44" s="137"/>
      <c r="AF44" s="140"/>
    </row>
    <row r="45" spans="1:35">
      <c r="A45" s="8">
        <v>41</v>
      </c>
      <c r="B45" s="3">
        <v>44319</v>
      </c>
      <c r="C45" s="4">
        <v>0.77722222222222204</v>
      </c>
      <c r="D45" s="5">
        <v>-7.33</v>
      </c>
      <c r="E45" s="5">
        <v>107.56</v>
      </c>
      <c r="F45" s="6">
        <v>10</v>
      </c>
      <c r="G45" s="7">
        <v>1.9</v>
      </c>
      <c r="N45" s="27"/>
      <c r="O45" s="61"/>
      <c r="P45" s="62"/>
      <c r="Q45" s="51"/>
      <c r="R45" s="62"/>
      <c r="Z45" s="55">
        <v>3.6</v>
      </c>
      <c r="AA45" s="43">
        <v>4.5</v>
      </c>
      <c r="AB45" s="28">
        <v>0.72964923079519095</v>
      </c>
      <c r="AC45" s="49">
        <f t="shared" si="16"/>
        <v>0.80999999999999983</v>
      </c>
      <c r="AD45" s="59">
        <f t="shared" si="10"/>
        <v>0.40499999999999992</v>
      </c>
      <c r="AE45" s="137"/>
      <c r="AF45" s="140"/>
    </row>
    <row r="46" spans="1:35">
      <c r="A46" s="8">
        <v>42</v>
      </c>
      <c r="B46" s="3">
        <v>44321</v>
      </c>
      <c r="C46" s="4">
        <v>0.42673611111111098</v>
      </c>
      <c r="D46" s="5">
        <v>-7.65</v>
      </c>
      <c r="E46" s="5">
        <v>107.569999999999</v>
      </c>
      <c r="F46" s="6">
        <v>19</v>
      </c>
      <c r="G46" s="7">
        <v>3</v>
      </c>
      <c r="N46" s="27"/>
      <c r="O46" s="27"/>
      <c r="P46" s="62"/>
      <c r="Q46" s="51"/>
      <c r="R46" s="62"/>
      <c r="Z46" s="55">
        <v>2.7</v>
      </c>
      <c r="AA46" s="43">
        <v>3.6</v>
      </c>
      <c r="AB46" s="28">
        <v>0.7305477397134853</v>
      </c>
      <c r="AC46" s="49">
        <f t="shared" si="16"/>
        <v>0.80999999999999983</v>
      </c>
      <c r="AD46" s="59">
        <f t="shared" si="10"/>
        <v>0.40499999999999992</v>
      </c>
      <c r="AE46" s="137"/>
      <c r="AF46" s="140"/>
    </row>
    <row r="47" spans="1:35">
      <c r="A47" s="8">
        <v>43</v>
      </c>
      <c r="B47" s="3">
        <v>44322</v>
      </c>
      <c r="C47" s="4">
        <v>0.67498842592592601</v>
      </c>
      <c r="D47" s="5">
        <v>-7.03</v>
      </c>
      <c r="E47" s="5">
        <v>107.23</v>
      </c>
      <c r="F47" s="6">
        <v>10</v>
      </c>
      <c r="G47" s="7">
        <v>3.3</v>
      </c>
      <c r="N47" s="27"/>
      <c r="O47" s="27"/>
      <c r="P47" s="62"/>
      <c r="Q47" s="51"/>
      <c r="R47" s="62"/>
      <c r="Z47" s="55">
        <v>3.6</v>
      </c>
      <c r="AA47" s="43">
        <v>3.5</v>
      </c>
      <c r="AB47" s="28">
        <v>0.74431176263813381</v>
      </c>
      <c r="AC47" s="49">
        <f t="shared" si="16"/>
        <v>1.0000000000000018E-2</v>
      </c>
      <c r="AD47" s="59">
        <f t="shared" si="10"/>
        <v>5.0000000000000088E-3</v>
      </c>
      <c r="AE47" s="137"/>
      <c r="AF47" s="140"/>
    </row>
    <row r="48" spans="1:35">
      <c r="A48" s="8">
        <v>44</v>
      </c>
      <c r="B48" s="3">
        <v>44324</v>
      </c>
      <c r="C48" s="4">
        <v>6.9560185185185202E-3</v>
      </c>
      <c r="D48" s="5">
        <v>-7.75</v>
      </c>
      <c r="E48" s="5">
        <v>106.939999999999</v>
      </c>
      <c r="F48" s="6">
        <v>25</v>
      </c>
      <c r="G48" s="7">
        <v>3</v>
      </c>
      <c r="N48" s="27"/>
      <c r="O48" s="61"/>
      <c r="P48" s="62"/>
      <c r="Q48" s="51"/>
      <c r="R48" s="62"/>
      <c r="Z48" s="55">
        <v>3.2</v>
      </c>
      <c r="AA48" s="43">
        <v>3.5</v>
      </c>
      <c r="AB48" s="28">
        <v>0.75239617223906707</v>
      </c>
      <c r="AC48" s="49">
        <f t="shared" si="16"/>
        <v>8.99999999999999E-2</v>
      </c>
      <c r="AD48" s="59">
        <f t="shared" si="10"/>
        <v>4.499999999999995E-2</v>
      </c>
      <c r="AE48" s="137"/>
      <c r="AF48" s="140"/>
    </row>
    <row r="49" spans="1:32">
      <c r="A49" s="8">
        <v>45</v>
      </c>
      <c r="B49" s="3">
        <v>44325</v>
      </c>
      <c r="C49" s="4">
        <v>0.141585648148148</v>
      </c>
      <c r="D49" s="5">
        <v>-7.24</v>
      </c>
      <c r="E49" s="5">
        <v>107.709999999999</v>
      </c>
      <c r="F49" s="6">
        <v>11</v>
      </c>
      <c r="G49" s="7">
        <v>2.5</v>
      </c>
      <c r="N49" s="27"/>
      <c r="O49" s="27"/>
      <c r="P49" s="62"/>
      <c r="Q49" s="51"/>
      <c r="R49" s="62"/>
      <c r="Z49" s="56">
        <v>2.2000000000000002</v>
      </c>
      <c r="AA49" s="47">
        <v>3.5</v>
      </c>
      <c r="AB49" s="29">
        <v>0.76843997813783893</v>
      </c>
      <c r="AC49" s="50">
        <f t="shared" si="16"/>
        <v>1.6899999999999995</v>
      </c>
      <c r="AD49" s="59">
        <f t="shared" si="10"/>
        <v>0.84499999999999975</v>
      </c>
      <c r="AE49" s="137"/>
      <c r="AF49" s="140"/>
    </row>
    <row r="50" spans="1:32">
      <c r="A50" s="8">
        <v>46</v>
      </c>
      <c r="B50" s="3">
        <v>44326</v>
      </c>
      <c r="C50" s="4">
        <v>0.50537037037037003</v>
      </c>
      <c r="D50" s="5">
        <v>-7.74</v>
      </c>
      <c r="E50" s="5">
        <v>108.64</v>
      </c>
      <c r="F50" s="6">
        <v>84</v>
      </c>
      <c r="G50" s="7">
        <v>2.9</v>
      </c>
      <c r="N50" s="27"/>
      <c r="O50" s="27"/>
      <c r="P50" s="62"/>
      <c r="Q50" s="51"/>
      <c r="R50" s="62"/>
      <c r="Y50" s="9" t="s">
        <v>35</v>
      </c>
      <c r="Z50" s="54">
        <v>3.2</v>
      </c>
      <c r="AA50" s="60">
        <v>3.1</v>
      </c>
      <c r="AB50" s="33">
        <v>0.78236819976274607</v>
      </c>
      <c r="AC50" s="52">
        <f t="shared" si="16"/>
        <v>1.0000000000000018E-2</v>
      </c>
      <c r="AD50" s="59">
        <f t="shared" si="10"/>
        <v>5.0000000000000088E-3</v>
      </c>
      <c r="AE50" s="137"/>
      <c r="AF50" s="140"/>
    </row>
    <row r="51" spans="1:32">
      <c r="A51" s="8">
        <v>47</v>
      </c>
      <c r="B51" s="3">
        <v>44327</v>
      </c>
      <c r="C51" s="4">
        <v>0.28400462962963002</v>
      </c>
      <c r="D51" s="5">
        <v>-7.64</v>
      </c>
      <c r="E51" s="5">
        <v>106.53</v>
      </c>
      <c r="F51" s="6">
        <v>16</v>
      </c>
      <c r="G51" s="7">
        <v>3.2</v>
      </c>
      <c r="N51" s="27"/>
      <c r="O51" s="27"/>
      <c r="P51" s="62"/>
      <c r="Q51" s="51"/>
      <c r="R51" s="62"/>
      <c r="Z51" s="55">
        <v>3.6</v>
      </c>
      <c r="AA51" s="43">
        <v>3.1</v>
      </c>
      <c r="AB51" s="28">
        <v>0.78600254452594831</v>
      </c>
      <c r="AC51" s="49">
        <f t="shared" si="16"/>
        <v>0.25</v>
      </c>
      <c r="AD51" s="59">
        <f t="shared" si="10"/>
        <v>0.125</v>
      </c>
      <c r="AE51" s="137"/>
      <c r="AF51" s="140"/>
    </row>
    <row r="52" spans="1:32">
      <c r="A52" s="8">
        <v>48</v>
      </c>
      <c r="B52" s="3">
        <v>44335</v>
      </c>
      <c r="C52" s="4">
        <v>0.51403935185185201</v>
      </c>
      <c r="D52" s="5">
        <v>-7.85</v>
      </c>
      <c r="E52" s="5">
        <v>107.26</v>
      </c>
      <c r="F52" s="6">
        <v>26</v>
      </c>
      <c r="G52" s="7">
        <v>3.3</v>
      </c>
      <c r="N52" s="27"/>
      <c r="O52" s="27"/>
      <c r="P52" s="62"/>
      <c r="Q52" s="51"/>
      <c r="R52" s="62"/>
      <c r="Z52" s="56">
        <v>2.7</v>
      </c>
      <c r="AA52" s="47">
        <v>3.5</v>
      </c>
      <c r="AB52" s="29">
        <v>0.78873316146844008</v>
      </c>
      <c r="AC52" s="50">
        <f t="shared" si="16"/>
        <v>0.63999999999999968</v>
      </c>
      <c r="AD52" s="59">
        <f t="shared" si="10"/>
        <v>0.31999999999999984</v>
      </c>
      <c r="AE52" s="138"/>
      <c r="AF52" s="140"/>
    </row>
    <row r="53" spans="1:32">
      <c r="A53" s="8">
        <v>49</v>
      </c>
      <c r="B53" s="3">
        <v>44339</v>
      </c>
      <c r="C53" s="4">
        <v>0.520393518518519</v>
      </c>
      <c r="D53" s="5">
        <v>-7.23</v>
      </c>
      <c r="E53" s="5">
        <v>107.739999999999</v>
      </c>
      <c r="F53" s="6">
        <v>10</v>
      </c>
      <c r="G53" s="7">
        <v>3.2</v>
      </c>
      <c r="N53" s="27"/>
      <c r="O53" s="61"/>
      <c r="P53" s="62"/>
      <c r="Q53" s="51"/>
      <c r="R53" s="62"/>
      <c r="Y53" s="9" t="s">
        <v>34</v>
      </c>
      <c r="Z53" s="54">
        <v>3.2</v>
      </c>
      <c r="AA53" s="60">
        <v>2.2000000000000002</v>
      </c>
      <c r="AB53" s="33">
        <v>0.94031909477526632</v>
      </c>
      <c r="AC53" s="52">
        <f t="shared" si="16"/>
        <v>1</v>
      </c>
      <c r="AD53" s="59">
        <f t="shared" si="10"/>
        <v>0.5</v>
      </c>
      <c r="AE53" s="136">
        <f>AVERAGE(AB53:AB54)</f>
        <v>0.94610597294412391</v>
      </c>
      <c r="AF53" s="140">
        <v>0.9</v>
      </c>
    </row>
    <row r="54" spans="1:32">
      <c r="A54" s="8">
        <v>50</v>
      </c>
      <c r="B54" s="3">
        <v>44340</v>
      </c>
      <c r="C54" s="4">
        <v>0.86993055555555598</v>
      </c>
      <c r="D54" s="5">
        <v>-7.18</v>
      </c>
      <c r="E54" s="5">
        <v>106.68</v>
      </c>
      <c r="F54" s="6">
        <v>66</v>
      </c>
      <c r="G54" s="7">
        <v>3.1</v>
      </c>
      <c r="N54" s="27"/>
      <c r="O54" s="27"/>
      <c r="P54" s="62"/>
      <c r="Q54" s="51"/>
      <c r="R54" s="62"/>
      <c r="Z54" s="56">
        <v>2.2000000000000002</v>
      </c>
      <c r="AA54" s="47">
        <v>3.6</v>
      </c>
      <c r="AB54" s="29">
        <v>0.9518928511129815</v>
      </c>
      <c r="AC54" s="50">
        <f t="shared" si="16"/>
        <v>1.9599999999999997</v>
      </c>
      <c r="AD54" s="59">
        <f t="shared" si="10"/>
        <v>0.97999999999999987</v>
      </c>
      <c r="AE54" s="138"/>
      <c r="AF54" s="140"/>
    </row>
    <row r="55" spans="1:32">
      <c r="A55" s="8">
        <v>51</v>
      </c>
      <c r="B55" s="3">
        <v>44340</v>
      </c>
      <c r="C55" s="4">
        <v>0.41275462962963</v>
      </c>
      <c r="D55" s="5">
        <v>-7.88</v>
      </c>
      <c r="E55" s="5">
        <v>107.51</v>
      </c>
      <c r="F55" s="6">
        <v>31</v>
      </c>
      <c r="G55" s="7">
        <v>3.6</v>
      </c>
      <c r="N55" s="27"/>
      <c r="O55" s="27"/>
      <c r="P55" s="62"/>
      <c r="Q55" s="51"/>
      <c r="R55" s="62"/>
      <c r="Y55" s="9" t="s">
        <v>36</v>
      </c>
      <c r="Z55" s="54">
        <v>3.2</v>
      </c>
      <c r="AA55" s="66">
        <v>3.5</v>
      </c>
      <c r="AB55" s="33">
        <v>1.0602358228243387</v>
      </c>
      <c r="AC55" s="52">
        <f t="shared" si="16"/>
        <v>8.99999999999999E-2</v>
      </c>
      <c r="AD55" s="59">
        <f t="shared" si="10"/>
        <v>4.499999999999995E-2</v>
      </c>
      <c r="AE55" s="136">
        <f>AVERAGE(AB55:AB57)</f>
        <v>1.067704802971291</v>
      </c>
      <c r="AF55" s="140">
        <v>1.1000000000000001</v>
      </c>
    </row>
    <row r="56" spans="1:32">
      <c r="A56" s="8">
        <v>52</v>
      </c>
      <c r="B56" s="3">
        <v>44340</v>
      </c>
      <c r="C56" s="4">
        <v>0.99877314814814799</v>
      </c>
      <c r="D56" s="5">
        <v>-7.73</v>
      </c>
      <c r="E56" s="5">
        <v>107.51</v>
      </c>
      <c r="F56" s="6">
        <v>10</v>
      </c>
      <c r="G56" s="7">
        <v>3.1</v>
      </c>
      <c r="N56" s="27"/>
      <c r="O56" s="27"/>
      <c r="P56" s="62"/>
      <c r="Q56" s="51"/>
      <c r="R56" s="62"/>
      <c r="Z56" s="55">
        <v>3.2</v>
      </c>
      <c r="AA56" s="65">
        <v>3.2</v>
      </c>
      <c r="AB56" s="28">
        <v>1.0632027088001599</v>
      </c>
      <c r="AC56" s="49">
        <f t="shared" si="16"/>
        <v>0</v>
      </c>
      <c r="AD56" s="59">
        <f t="shared" si="10"/>
        <v>0</v>
      </c>
      <c r="AE56" s="137"/>
      <c r="AF56" s="140"/>
    </row>
    <row r="57" spans="1:32">
      <c r="A57" s="8">
        <v>53</v>
      </c>
      <c r="B57" s="3">
        <v>44340</v>
      </c>
      <c r="C57" s="4">
        <v>0.76120370370370405</v>
      </c>
      <c r="D57" s="5">
        <v>-6.95</v>
      </c>
      <c r="E57" s="5">
        <v>107.89</v>
      </c>
      <c r="F57" s="6">
        <v>10</v>
      </c>
      <c r="G57" s="7">
        <v>2.1</v>
      </c>
      <c r="N57" s="27"/>
      <c r="O57" s="27"/>
      <c r="P57" s="62"/>
      <c r="Q57" s="51"/>
      <c r="R57" s="62"/>
      <c r="Z57" s="56">
        <v>3.2</v>
      </c>
      <c r="AA57" s="68">
        <v>3.6</v>
      </c>
      <c r="AB57" s="29">
        <v>1.0796758772893746</v>
      </c>
      <c r="AC57" s="50">
        <f t="shared" si="16"/>
        <v>0.15999999999999992</v>
      </c>
      <c r="AD57" s="59">
        <f t="shared" si="10"/>
        <v>7.999999999999996E-2</v>
      </c>
      <c r="AE57" s="138"/>
      <c r="AF57" s="140"/>
    </row>
    <row r="58" spans="1:32">
      <c r="A58" s="8">
        <v>54</v>
      </c>
      <c r="B58" s="3">
        <v>44343</v>
      </c>
      <c r="C58" s="4">
        <v>0.13581018518518501</v>
      </c>
      <c r="D58" s="5">
        <v>-7.31</v>
      </c>
      <c r="E58" s="5">
        <v>106.67</v>
      </c>
      <c r="F58" s="6">
        <v>97</v>
      </c>
      <c r="G58" s="7">
        <v>3.6</v>
      </c>
      <c r="N58" s="27"/>
      <c r="O58" s="27"/>
      <c r="P58" s="62"/>
      <c r="Q58" s="51"/>
      <c r="R58" s="62"/>
      <c r="AC58" s="28"/>
    </row>
    <row r="59" spans="1:32">
      <c r="A59" s="8">
        <v>55</v>
      </c>
      <c r="B59" s="3">
        <v>44343</v>
      </c>
      <c r="C59" s="4">
        <v>0.99250000000000005</v>
      </c>
      <c r="D59" s="5">
        <v>-7.84</v>
      </c>
      <c r="E59" s="5">
        <v>107.29</v>
      </c>
      <c r="F59" s="6">
        <v>25</v>
      </c>
      <c r="G59" s="7">
        <v>4.0999999999999996</v>
      </c>
      <c r="N59" s="27"/>
      <c r="O59" s="61"/>
      <c r="P59" s="62"/>
      <c r="Q59" s="51"/>
      <c r="R59" s="62"/>
      <c r="AC59" s="28"/>
    </row>
    <row r="60" spans="1:32">
      <c r="A60" s="8">
        <v>56</v>
      </c>
      <c r="B60" s="3">
        <v>44344</v>
      </c>
      <c r="C60" s="4">
        <v>0.71865740740740702</v>
      </c>
      <c r="D60" s="5">
        <v>-7.23</v>
      </c>
      <c r="E60" s="5">
        <v>108.67</v>
      </c>
      <c r="F60" s="6">
        <v>10</v>
      </c>
      <c r="G60" s="7">
        <v>3.7</v>
      </c>
      <c r="N60" s="27"/>
      <c r="O60" s="27"/>
      <c r="P60" s="62"/>
      <c r="Q60" s="51"/>
      <c r="R60" s="62"/>
      <c r="AC60" s="28"/>
    </row>
    <row r="61" spans="1:32">
      <c r="A61" s="8">
        <v>57</v>
      </c>
      <c r="B61" s="3">
        <v>44345</v>
      </c>
      <c r="C61" s="4">
        <v>0.20769675925925901</v>
      </c>
      <c r="D61" s="5">
        <v>-6.94</v>
      </c>
      <c r="E61" s="5">
        <v>107.019999999999</v>
      </c>
      <c r="F61" s="6">
        <v>10</v>
      </c>
      <c r="G61" s="7">
        <v>2.5</v>
      </c>
      <c r="N61" s="27"/>
      <c r="O61" s="27"/>
      <c r="P61" s="62"/>
      <c r="Q61" s="51"/>
      <c r="R61" s="62"/>
      <c r="AC61" s="28"/>
    </row>
    <row r="62" spans="1:32">
      <c r="A62" s="8">
        <v>58</v>
      </c>
      <c r="B62" s="3">
        <v>44350</v>
      </c>
      <c r="C62" s="4">
        <v>0.96505787037037005</v>
      </c>
      <c r="D62" s="5">
        <v>-6.91</v>
      </c>
      <c r="E62" s="5">
        <v>106.959999999999</v>
      </c>
      <c r="F62" s="6">
        <v>10</v>
      </c>
      <c r="G62" s="7">
        <v>3.1</v>
      </c>
      <c r="N62" s="27"/>
      <c r="O62" s="48"/>
      <c r="P62" s="62"/>
      <c r="Q62" s="51"/>
      <c r="R62" s="62"/>
      <c r="AC62" s="28"/>
    </row>
    <row r="63" spans="1:32">
      <c r="A63" s="8">
        <v>59</v>
      </c>
      <c r="B63" s="3">
        <v>44351</v>
      </c>
      <c r="C63" s="4">
        <v>0.17413194444444399</v>
      </c>
      <c r="D63" s="5">
        <v>-7.71</v>
      </c>
      <c r="E63" s="5">
        <v>106.93</v>
      </c>
      <c r="F63" s="6">
        <v>10</v>
      </c>
      <c r="G63" s="7">
        <v>3.6</v>
      </c>
      <c r="N63" s="27"/>
      <c r="O63" s="27"/>
      <c r="P63" s="62"/>
      <c r="Q63" s="51"/>
      <c r="R63" s="62"/>
      <c r="AC63" s="28"/>
    </row>
    <row r="64" spans="1:32">
      <c r="A64" s="8">
        <v>60</v>
      </c>
      <c r="B64" s="3">
        <v>44352</v>
      </c>
      <c r="C64" s="4">
        <v>0.19931712962963</v>
      </c>
      <c r="D64" s="5">
        <v>-7.22</v>
      </c>
      <c r="E64" s="5">
        <v>108.78</v>
      </c>
      <c r="F64" s="6">
        <v>10</v>
      </c>
      <c r="G64" s="7">
        <v>5.5</v>
      </c>
      <c r="N64" s="27"/>
      <c r="O64" s="27"/>
      <c r="P64" s="62"/>
      <c r="Q64" s="51"/>
      <c r="R64" s="62"/>
      <c r="AC64" s="28"/>
    </row>
    <row r="65" spans="1:52">
      <c r="A65" s="8">
        <v>61</v>
      </c>
      <c r="B65" s="3">
        <v>44352</v>
      </c>
      <c r="C65" s="4">
        <v>0.13472222222222199</v>
      </c>
      <c r="D65" s="5">
        <v>-6.75</v>
      </c>
      <c r="E65" s="5">
        <v>106.599999999999</v>
      </c>
      <c r="F65" s="6">
        <v>16</v>
      </c>
      <c r="G65" s="7">
        <v>2.7</v>
      </c>
      <c r="N65" s="27"/>
      <c r="O65" s="43"/>
      <c r="P65" s="62"/>
      <c r="Q65" s="51"/>
      <c r="R65" s="62"/>
      <c r="AC65" s="28"/>
    </row>
    <row r="66" spans="1:52">
      <c r="A66" s="8">
        <v>62</v>
      </c>
      <c r="B66" s="3">
        <v>44353</v>
      </c>
      <c r="C66" s="4">
        <v>0.54671296296296301</v>
      </c>
      <c r="D66" s="5">
        <v>-7.84</v>
      </c>
      <c r="E66" s="5">
        <v>107.26</v>
      </c>
      <c r="F66" s="6">
        <v>27</v>
      </c>
      <c r="G66" s="7">
        <v>4.0999999999999996</v>
      </c>
      <c r="N66" s="27"/>
      <c r="O66" s="27"/>
      <c r="P66" s="62"/>
      <c r="Q66" s="51"/>
      <c r="R66" s="62"/>
      <c r="AC66" s="28"/>
    </row>
    <row r="67" spans="1:52">
      <c r="A67" s="8">
        <v>63</v>
      </c>
      <c r="B67" s="3">
        <v>44354</v>
      </c>
      <c r="C67" s="4">
        <v>0.54998842592592601</v>
      </c>
      <c r="D67" s="5">
        <v>-7.87</v>
      </c>
      <c r="E67" s="5">
        <v>107.26</v>
      </c>
      <c r="F67" s="6">
        <v>25</v>
      </c>
      <c r="G67" s="7">
        <v>4.0999999999999996</v>
      </c>
      <c r="N67" s="27"/>
      <c r="O67" s="27"/>
      <c r="P67" s="62"/>
      <c r="Q67" s="51"/>
      <c r="R67" s="62"/>
      <c r="AC67" s="28"/>
      <c r="AO67" s="119" t="s">
        <v>68</v>
      </c>
      <c r="AP67" s="21" t="s">
        <v>44</v>
      </c>
      <c r="AQ67" s="21" t="s">
        <v>45</v>
      </c>
      <c r="AR67" s="21" t="s">
        <v>46</v>
      </c>
      <c r="AU67" s="120" t="s">
        <v>89</v>
      </c>
      <c r="AV67" s="120" t="s">
        <v>90</v>
      </c>
      <c r="AW67" s="120" t="s">
        <v>91</v>
      </c>
      <c r="AX67" s="21" t="s">
        <v>50</v>
      </c>
      <c r="AY67" s="21" t="s">
        <v>51</v>
      </c>
      <c r="AZ67" s="21" t="s">
        <v>52</v>
      </c>
    </row>
    <row r="68" spans="1:52">
      <c r="A68" s="8">
        <v>64</v>
      </c>
      <c r="B68" s="3">
        <v>44354</v>
      </c>
      <c r="C68" s="4">
        <v>0.43775462962963002</v>
      </c>
      <c r="D68" s="5">
        <v>-7.85</v>
      </c>
      <c r="E68" s="5">
        <v>107.28</v>
      </c>
      <c r="F68" s="6">
        <v>23</v>
      </c>
      <c r="G68" s="7">
        <v>4.0999999999999996</v>
      </c>
      <c r="N68" s="27"/>
      <c r="O68" s="27"/>
      <c r="P68" s="62"/>
      <c r="Q68" s="51"/>
      <c r="R68" s="62"/>
      <c r="AC68" s="28"/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U68" s="36">
        <v>0</v>
      </c>
      <c r="AV68" s="36">
        <v>0</v>
      </c>
      <c r="AW68" s="36">
        <v>0</v>
      </c>
      <c r="AX68" s="36">
        <v>0</v>
      </c>
      <c r="AY68" s="36">
        <v>0</v>
      </c>
      <c r="AZ68" s="36">
        <v>0</v>
      </c>
    </row>
    <row r="69" spans="1:52">
      <c r="A69" s="8">
        <v>65</v>
      </c>
      <c r="B69" s="3">
        <v>44355</v>
      </c>
      <c r="C69" s="4">
        <v>0.573159722222222</v>
      </c>
      <c r="D69" s="5">
        <v>-7.85</v>
      </c>
      <c r="E69" s="5">
        <v>106.79</v>
      </c>
      <c r="F69" s="6">
        <v>10</v>
      </c>
      <c r="G69" s="7">
        <v>3.2</v>
      </c>
      <c r="N69" s="27"/>
      <c r="O69" s="27"/>
      <c r="P69" s="62"/>
      <c r="Q69" s="51"/>
      <c r="R69" s="62"/>
      <c r="AC69" s="28"/>
      <c r="AM69">
        <v>0.2</v>
      </c>
      <c r="AN69" s="8">
        <v>0.1</v>
      </c>
      <c r="AO69" s="8">
        <v>0.20470588235294118</v>
      </c>
      <c r="AP69" s="8">
        <f>$AO$76*(1.5*(AM69/$AO$77)-0.5*(AM69/$AO$77)^3)</f>
        <v>0.28004736799146074</v>
      </c>
      <c r="AQ69" s="8">
        <f>$AO$76*(1-EXP(-(AM69/$AO$77)))</f>
        <v>0.17149991722400465</v>
      </c>
      <c r="AR69" s="8">
        <f>$AO$76*(1-EXP(-((AM69)^2/($AO$77)^2)))</f>
        <v>3.7097345820476052E-2</v>
      </c>
      <c r="AU69" s="8">
        <f t="shared" ref="AU69:AU74" si="17">(ABS(AO69-AP69)/AO69)*100</f>
        <v>36.804748731460698</v>
      </c>
      <c r="AV69" s="8">
        <f>(ABS(AO69-AQ69)/AO69)*100</f>
        <v>16.221304804365548</v>
      </c>
      <c r="AW69" s="8">
        <f>(ABS(AO69-AR69)/AO69)*100</f>
        <v>81.877733363560552</v>
      </c>
      <c r="AX69" s="8">
        <f>(AO69-AP69)^2</f>
        <v>5.6763394582192489E-3</v>
      </c>
      <c r="AY69" s="8">
        <f>(AO69-AQ69)^2</f>
        <v>1.1026361201441489E-3</v>
      </c>
      <c r="AZ69" s="8">
        <f>(AO69-AR69)^2</f>
        <v>2.8092621518554697E-2</v>
      </c>
    </row>
    <row r="70" spans="1:52">
      <c r="A70" s="8">
        <v>66</v>
      </c>
      <c r="B70" s="3">
        <v>44355</v>
      </c>
      <c r="C70" s="4">
        <v>0.83865740740740702</v>
      </c>
      <c r="D70" s="5">
        <v>-7.46</v>
      </c>
      <c r="E70" s="5">
        <v>106.799999999999</v>
      </c>
      <c r="F70" s="6">
        <v>108</v>
      </c>
      <c r="G70" s="7">
        <v>4.2</v>
      </c>
      <c r="N70" s="27"/>
      <c r="O70" s="27"/>
      <c r="P70" s="62"/>
      <c r="Q70" s="51"/>
      <c r="R70" s="62"/>
      <c r="AC70" s="28"/>
      <c r="AM70">
        <v>0.4</v>
      </c>
      <c r="AN70" s="8">
        <v>0.3</v>
      </c>
      <c r="AO70" s="8">
        <v>0.34303186412795156</v>
      </c>
      <c r="AP70" s="8">
        <f t="shared" ref="AP70:AP73" si="18">$AO$76*(1.5*(AM70/$AO$77)-0.5*(AM70/$AO$77)^3)</f>
        <v>0.53738819263226245</v>
      </c>
      <c r="AQ70" s="8">
        <f t="shared" ref="AQ70:AQ74" si="19">$AO$76*(1-EXP(-(AM70/$AO$77)))</f>
        <v>0.31191217360562545</v>
      </c>
      <c r="AR70" s="8">
        <f t="shared" ref="AR70:AR74" si="20">$AO$76*(1-EXP(-((AM70)^2/($AO$77)^2)))</f>
        <v>0.13988764439595433</v>
      </c>
      <c r="AU70" s="8">
        <f t="shared" si="17"/>
        <v>56.658389155304711</v>
      </c>
      <c r="AV70" s="8">
        <f t="shared" ref="AV70:AV74" si="21">(ABS(AO70-AQ70)/AO70)*100</f>
        <v>9.0719533013173361</v>
      </c>
      <c r="AW70" s="8">
        <f t="shared" ref="AW70:AW74" si="22">(ABS(AO70-AR70)/AO70)*100</f>
        <v>59.220218578943452</v>
      </c>
      <c r="AX70" s="8">
        <f t="shared" ref="AX70:AX74" si="23">(AO70-AP70)^2</f>
        <v>3.777438242967561E-2</v>
      </c>
      <c r="AY70" s="8">
        <f t="shared" ref="AY70:AY74" si="24">(AO70-AQ70)^2</f>
        <v>9.6843513820535322E-4</v>
      </c>
      <c r="AZ70" s="8">
        <f t="shared" ref="AZ70:AZ74" si="25">(AO70-AR70)^2</f>
        <v>4.1267574010521973E-2</v>
      </c>
    </row>
    <row r="71" spans="1:52">
      <c r="A71" s="8">
        <v>67</v>
      </c>
      <c r="B71" s="3">
        <v>44359</v>
      </c>
      <c r="C71" s="4">
        <v>0.62555555555555598</v>
      </c>
      <c r="D71" s="5">
        <v>-7.11</v>
      </c>
      <c r="E71" s="5">
        <v>107.489999999999</v>
      </c>
      <c r="F71" s="6">
        <v>19</v>
      </c>
      <c r="G71" s="7">
        <v>2.9</v>
      </c>
      <c r="N71" s="27"/>
      <c r="O71" s="27"/>
      <c r="P71" s="62"/>
      <c r="Q71" s="51"/>
      <c r="R71" s="62"/>
      <c r="AC71" s="28"/>
      <c r="AM71">
        <v>0.6</v>
      </c>
      <c r="AN71" s="8">
        <v>0.5</v>
      </c>
      <c r="AO71" s="8">
        <v>0.46090662319660441</v>
      </c>
      <c r="AP71" s="8">
        <f t="shared" si="18"/>
        <v>0.74931593057174606</v>
      </c>
      <c r="AQ71" s="8">
        <f t="shared" si="19"/>
        <v>0.42687200601432862</v>
      </c>
      <c r="AR71" s="8">
        <f t="shared" si="20"/>
        <v>0.28603023366660923</v>
      </c>
      <c r="AU71" s="8">
        <f t="shared" si="17"/>
        <v>62.574346485821209</v>
      </c>
      <c r="AV71" s="8">
        <f t="shared" si="21"/>
        <v>7.3842760050245539</v>
      </c>
      <c r="AW71" s="8">
        <f t="shared" si="22"/>
        <v>37.941826115915866</v>
      </c>
      <c r="AX71" s="8">
        <f t="shared" si="23"/>
        <v>8.3179928580608936E-2</v>
      </c>
      <c r="AY71" s="8">
        <f t="shared" si="24"/>
        <v>1.1583551667440628E-3</v>
      </c>
      <c r="AZ71" s="8">
        <f t="shared" si="25"/>
        <v>3.0581751615046608E-2</v>
      </c>
    </row>
    <row r="72" spans="1:52">
      <c r="A72" s="8">
        <v>68</v>
      </c>
      <c r="B72" s="3">
        <v>44364</v>
      </c>
      <c r="C72" s="4">
        <v>0.26428240740740699</v>
      </c>
      <c r="D72" s="5">
        <v>-7.8</v>
      </c>
      <c r="E72" s="5">
        <v>106.5</v>
      </c>
      <c r="F72" s="6">
        <v>10</v>
      </c>
      <c r="G72" s="7">
        <v>3.6</v>
      </c>
      <c r="N72" s="27"/>
      <c r="O72" s="27"/>
      <c r="P72" s="62"/>
      <c r="Q72" s="51"/>
      <c r="R72" s="62"/>
      <c r="AC72" s="28"/>
      <c r="AM72">
        <v>0.8</v>
      </c>
      <c r="AN72" s="8">
        <v>0.7</v>
      </c>
      <c r="AO72" s="8">
        <v>0.72346103560837949</v>
      </c>
      <c r="AP72" s="8">
        <f t="shared" si="18"/>
        <v>0.89312403845925314</v>
      </c>
      <c r="AQ72" s="8">
        <f t="shared" si="19"/>
        <v>0.52099315617602471</v>
      </c>
      <c r="AR72" s="8">
        <f t="shared" si="20"/>
        <v>0.4472314610688099</v>
      </c>
      <c r="AU72" s="8">
        <f t="shared" si="17"/>
        <v>23.451574376524519</v>
      </c>
      <c r="AV72" s="8">
        <f t="shared" si="21"/>
        <v>27.986010229575619</v>
      </c>
      <c r="AW72" s="8">
        <f t="shared" si="22"/>
        <v>38.181679585173519</v>
      </c>
      <c r="AX72" s="8">
        <f t="shared" si="23"/>
        <v>2.8785534536375564E-2</v>
      </c>
      <c r="AY72" s="8">
        <f t="shared" si="24"/>
        <v>4.0993242201834555E-2</v>
      </c>
      <c r="AZ72" s="8">
        <f t="shared" si="25"/>
        <v>7.6302777850311629E-2</v>
      </c>
    </row>
    <row r="73" spans="1:52">
      <c r="A73" s="8">
        <v>69</v>
      </c>
      <c r="B73" s="3">
        <v>44365</v>
      </c>
      <c r="C73" s="4">
        <v>0.69666666666666699</v>
      </c>
      <c r="D73" s="5">
        <v>-7.26</v>
      </c>
      <c r="E73" s="5">
        <v>107.599999999999</v>
      </c>
      <c r="F73" s="6">
        <v>10</v>
      </c>
      <c r="G73" s="7">
        <v>2</v>
      </c>
      <c r="N73" s="27"/>
      <c r="O73" s="27"/>
      <c r="P73" s="62"/>
      <c r="Q73" s="51"/>
      <c r="R73" s="62"/>
      <c r="AC73" s="28"/>
      <c r="AM73">
        <v>1</v>
      </c>
      <c r="AN73" s="8">
        <v>0.9</v>
      </c>
      <c r="AO73" s="8">
        <v>0.94610597294412391</v>
      </c>
      <c r="AP73" s="8">
        <f t="shared" si="18"/>
        <v>0.94610597294412391</v>
      </c>
      <c r="AQ73" s="8">
        <f t="shared" si="19"/>
        <v>0.59805303632847584</v>
      </c>
      <c r="AR73" s="8">
        <f t="shared" si="20"/>
        <v>0.59805303632847584</v>
      </c>
      <c r="AU73" s="8">
        <f t="shared" si="17"/>
        <v>0</v>
      </c>
      <c r="AV73" s="8">
        <f t="shared" si="21"/>
        <v>36.787944117144235</v>
      </c>
      <c r="AW73" s="8">
        <f t="shared" si="22"/>
        <v>36.787944117144235</v>
      </c>
      <c r="AX73" s="8">
        <f t="shared" si="23"/>
        <v>0</v>
      </c>
      <c r="AY73" s="8">
        <f t="shared" si="24"/>
        <v>0.12114084668677633</v>
      </c>
      <c r="AZ73" s="8">
        <f t="shared" si="25"/>
        <v>0.12114084668677633</v>
      </c>
    </row>
    <row r="74" spans="1:52">
      <c r="A74" s="8">
        <v>70</v>
      </c>
      <c r="B74" s="3">
        <v>44366</v>
      </c>
      <c r="C74" s="4">
        <v>0.56094907407407402</v>
      </c>
      <c r="D74" s="5">
        <v>-7.81</v>
      </c>
      <c r="E74" s="5">
        <v>107.299999999999</v>
      </c>
      <c r="F74" s="6">
        <v>28</v>
      </c>
      <c r="G74" s="7">
        <v>3.1</v>
      </c>
      <c r="N74" s="27"/>
      <c r="O74" s="27"/>
      <c r="P74" s="62"/>
      <c r="Q74" s="51"/>
      <c r="R74" s="62"/>
      <c r="AC74" s="28"/>
      <c r="AM74">
        <v>1.2</v>
      </c>
      <c r="AN74" s="8">
        <v>1.1000000000000001</v>
      </c>
      <c r="AO74" s="8">
        <v>1.067704802971291</v>
      </c>
      <c r="AP74" s="8">
        <f>AO76</f>
        <v>0.94610597294412391</v>
      </c>
      <c r="AQ74" s="8">
        <f t="shared" si="19"/>
        <v>0.66114433003779127</v>
      </c>
      <c r="AR74" s="8">
        <f t="shared" si="20"/>
        <v>0.72194720529870449</v>
      </c>
      <c r="AU74" s="8">
        <f t="shared" si="17"/>
        <v>11.388806127758583</v>
      </c>
      <c r="AV74" s="8">
        <f t="shared" si="21"/>
        <v>38.077984832707692</v>
      </c>
      <c r="AW74" s="8">
        <f t="shared" si="22"/>
        <v>32.383257686055707</v>
      </c>
      <c r="AX74" s="8">
        <f t="shared" si="23"/>
        <v>1.4786275463975873E-2</v>
      </c>
      <c r="AY74" s="8">
        <f t="shared" si="24"/>
        <v>0.16529141815191095</v>
      </c>
      <c r="AZ74" s="8">
        <f t="shared" si="25"/>
        <v>0.11954831634831821</v>
      </c>
    </row>
    <row r="75" spans="1:52">
      <c r="A75" s="8">
        <v>71</v>
      </c>
      <c r="B75" s="3">
        <v>44367</v>
      </c>
      <c r="C75" s="4">
        <v>0.466631944444444</v>
      </c>
      <c r="D75" s="5">
        <v>-7.71</v>
      </c>
      <c r="E75" s="5">
        <v>106.62</v>
      </c>
      <c r="F75" s="6">
        <v>19</v>
      </c>
      <c r="G75" s="7">
        <v>2.9</v>
      </c>
      <c r="N75" s="27"/>
      <c r="O75" s="61"/>
      <c r="P75" s="62"/>
      <c r="Q75" s="51"/>
      <c r="R75" s="62"/>
      <c r="AC75" s="28"/>
      <c r="AN75" s="21" t="s">
        <v>48</v>
      </c>
      <c r="AO75" s="36">
        <v>0</v>
      </c>
      <c r="AP75" s="8">
        <v>0</v>
      </c>
      <c r="AQ75" s="8">
        <v>0</v>
      </c>
      <c r="AR75" s="8">
        <v>0</v>
      </c>
      <c r="AT75" s="118" t="s">
        <v>92</v>
      </c>
      <c r="AU75" s="90">
        <f>AVERAGE(AU68:AU74)</f>
        <v>27.26826641098139</v>
      </c>
      <c r="AV75" s="90">
        <f t="shared" ref="AV75:AW75" si="26">AVERAGE(AV68:AV74)</f>
        <v>19.361353327162142</v>
      </c>
      <c r="AW75" s="90">
        <f t="shared" si="26"/>
        <v>40.913237063827623</v>
      </c>
      <c r="AX75" s="114">
        <f t="shared" ref="AX75" si="27">AVERAGE(AX68:AX74)</f>
        <v>2.4314637209836461E-2</v>
      </c>
      <c r="AY75" s="114">
        <f t="shared" ref="AY75" si="28">AVERAGE(AY68:AY74)</f>
        <v>4.7236419066516482E-2</v>
      </c>
      <c r="AZ75" s="114">
        <f t="shared" ref="AZ75" si="29">AVERAGE(AZ68:AZ74)</f>
        <v>5.9561984004218485E-2</v>
      </c>
    </row>
    <row r="76" spans="1:52">
      <c r="A76" s="8">
        <v>72</v>
      </c>
      <c r="B76" s="3">
        <v>44373</v>
      </c>
      <c r="C76" s="4">
        <v>0.56983796296296296</v>
      </c>
      <c r="D76" s="5">
        <v>-7.57</v>
      </c>
      <c r="E76" s="5">
        <v>106.489999999999</v>
      </c>
      <c r="F76" s="6">
        <v>81</v>
      </c>
      <c r="G76" s="7">
        <v>2.8</v>
      </c>
      <c r="N76" s="27"/>
      <c r="O76" s="27"/>
      <c r="P76" s="62"/>
      <c r="Q76" s="51"/>
      <c r="R76" s="62"/>
      <c r="AC76" s="28"/>
      <c r="AN76" s="21" t="s">
        <v>47</v>
      </c>
      <c r="AO76" s="8">
        <f>AO73</f>
        <v>0.94610597294412391</v>
      </c>
      <c r="AP76" s="8">
        <f>AP73</f>
        <v>0.94610597294412391</v>
      </c>
      <c r="AQ76" s="8">
        <f>AQ73</f>
        <v>0.59805303632847584</v>
      </c>
      <c r="AR76" s="8">
        <f>AR73</f>
        <v>0.59805303632847584</v>
      </c>
      <c r="AW76" s="120" t="s">
        <v>93</v>
      </c>
      <c r="AX76" s="114">
        <f>SQRT(AX75)</f>
        <v>0.15593151448580386</v>
      </c>
      <c r="AY76" s="114">
        <f t="shared" ref="AY76:AZ76" si="30">SQRT(AY75)</f>
        <v>0.21733940983290739</v>
      </c>
      <c r="AZ76" s="114">
        <f t="shared" si="30"/>
        <v>0.24405324010186483</v>
      </c>
    </row>
    <row r="77" spans="1:52">
      <c r="A77" s="8">
        <v>73</v>
      </c>
      <c r="B77" s="3">
        <v>44374</v>
      </c>
      <c r="C77" s="4">
        <v>0.67315972222222198</v>
      </c>
      <c r="D77" s="5">
        <v>-7.7</v>
      </c>
      <c r="E77" s="5">
        <v>106.59</v>
      </c>
      <c r="F77" s="6">
        <v>20</v>
      </c>
      <c r="G77" s="7">
        <v>3.6</v>
      </c>
      <c r="N77" s="27"/>
      <c r="O77" s="27"/>
      <c r="P77" s="62"/>
      <c r="Q77" s="51"/>
      <c r="R77" s="62"/>
      <c r="AC77" s="28"/>
      <c r="AN77" s="21" t="s">
        <v>49</v>
      </c>
      <c r="AO77" s="8">
        <v>1</v>
      </c>
      <c r="AP77" s="8">
        <v>1</v>
      </c>
      <c r="AQ77" s="8">
        <v>1</v>
      </c>
      <c r="AR77" s="8">
        <v>1</v>
      </c>
      <c r="AX77" s="26"/>
      <c r="AY77" s="26"/>
      <c r="AZ77" s="26"/>
    </row>
    <row r="78" spans="1:52">
      <c r="A78" s="8">
        <v>74</v>
      </c>
      <c r="B78" s="3">
        <v>44379</v>
      </c>
      <c r="C78" s="4">
        <v>0.98532407407407396</v>
      </c>
      <c r="D78" s="5">
        <v>-7.52</v>
      </c>
      <c r="E78" s="5">
        <v>106.76</v>
      </c>
      <c r="F78" s="6">
        <v>44</v>
      </c>
      <c r="G78" s="7">
        <v>4.8</v>
      </c>
      <c r="N78" s="27"/>
      <c r="O78" s="27"/>
      <c r="P78" s="62"/>
      <c r="Q78" s="51"/>
      <c r="R78" s="62"/>
      <c r="AC78" s="28"/>
      <c r="AO78" s="117"/>
    </row>
    <row r="79" spans="1:52">
      <c r="A79" s="8">
        <v>75</v>
      </c>
      <c r="B79" s="3">
        <v>44380</v>
      </c>
      <c r="C79" s="4">
        <v>0.50857638888888901</v>
      </c>
      <c r="D79" s="5">
        <v>-7.84</v>
      </c>
      <c r="E79" s="5">
        <v>107.04</v>
      </c>
      <c r="F79" s="6">
        <v>16</v>
      </c>
      <c r="G79" s="7">
        <v>2.7</v>
      </c>
      <c r="N79" s="27"/>
      <c r="O79" s="27"/>
      <c r="P79" s="62"/>
      <c r="Q79" s="51"/>
      <c r="R79" s="62"/>
      <c r="AC79" s="28"/>
    </row>
    <row r="80" spans="1:52">
      <c r="A80" s="8">
        <v>76</v>
      </c>
      <c r="B80" s="3">
        <v>44384</v>
      </c>
      <c r="C80" s="4">
        <v>0.75656250000000003</v>
      </c>
      <c r="D80" s="5">
        <v>-7.28</v>
      </c>
      <c r="E80" s="5">
        <v>107.519999999999</v>
      </c>
      <c r="F80" s="6">
        <v>32</v>
      </c>
      <c r="G80" s="7">
        <v>2.2000000000000002</v>
      </c>
      <c r="N80" s="27"/>
      <c r="O80" s="61"/>
      <c r="P80" s="62"/>
      <c r="Q80" s="51"/>
      <c r="R80" s="62"/>
      <c r="AC80" s="28"/>
    </row>
    <row r="81" spans="1:49">
      <c r="A81" s="8">
        <v>77</v>
      </c>
      <c r="B81" s="3">
        <v>44386</v>
      </c>
      <c r="C81" s="4">
        <v>0.10212962962963</v>
      </c>
      <c r="D81" s="5">
        <v>-7.54</v>
      </c>
      <c r="E81" s="5">
        <v>106.689999999999</v>
      </c>
      <c r="F81" s="6">
        <v>29</v>
      </c>
      <c r="G81" s="7">
        <v>3.9</v>
      </c>
      <c r="N81" s="27"/>
      <c r="O81" s="27"/>
      <c r="P81" s="62"/>
      <c r="Q81" s="51"/>
      <c r="R81" s="62"/>
      <c r="AC81" s="28"/>
    </row>
    <row r="82" spans="1:49">
      <c r="A82" s="8">
        <v>78</v>
      </c>
      <c r="B82" s="3">
        <v>44386</v>
      </c>
      <c r="C82" s="4">
        <v>0.17186342592592599</v>
      </c>
      <c r="D82" s="5">
        <v>-5.97</v>
      </c>
      <c r="E82" s="5">
        <v>107.23</v>
      </c>
      <c r="F82" s="6">
        <v>324</v>
      </c>
      <c r="G82" s="7">
        <v>3.7</v>
      </c>
      <c r="N82" s="27"/>
      <c r="O82" s="27"/>
      <c r="P82" s="62"/>
      <c r="Q82" s="51"/>
      <c r="R82" s="62"/>
      <c r="AC82" s="28"/>
    </row>
    <row r="83" spans="1:49">
      <c r="A83" s="8">
        <v>79</v>
      </c>
      <c r="B83" s="3">
        <v>44388</v>
      </c>
      <c r="C83" s="4">
        <v>6.2789351851851805E-2</v>
      </c>
      <c r="D83" s="5">
        <v>-7.51</v>
      </c>
      <c r="E83" s="5">
        <v>106.769999999999</v>
      </c>
      <c r="F83" s="6">
        <v>31</v>
      </c>
      <c r="G83" s="7">
        <v>3.4</v>
      </c>
      <c r="N83" s="27"/>
      <c r="O83" s="27"/>
      <c r="P83" s="62"/>
      <c r="Q83" s="51"/>
      <c r="R83" s="62"/>
      <c r="AC83" s="28"/>
    </row>
    <row r="84" spans="1:49">
      <c r="A84" s="8">
        <v>80</v>
      </c>
      <c r="B84" s="3">
        <v>44389</v>
      </c>
      <c r="C84" s="4">
        <v>0.96932870370370405</v>
      </c>
      <c r="D84" s="5">
        <v>-7.17</v>
      </c>
      <c r="E84" s="5">
        <v>107.01</v>
      </c>
      <c r="F84" s="6">
        <v>10</v>
      </c>
      <c r="G84" s="7">
        <v>2.9</v>
      </c>
      <c r="N84" s="27"/>
      <c r="O84" s="27"/>
      <c r="P84" s="62"/>
      <c r="Q84" s="51"/>
      <c r="R84" s="62"/>
      <c r="AC84" s="28"/>
    </row>
    <row r="85" spans="1:49">
      <c r="A85" s="8">
        <v>81</v>
      </c>
      <c r="B85" s="3">
        <v>44390</v>
      </c>
      <c r="C85" s="4">
        <v>0.841631944444444</v>
      </c>
      <c r="D85" s="5">
        <v>-7.25</v>
      </c>
      <c r="E85" s="5">
        <v>108.62</v>
      </c>
      <c r="F85" s="6">
        <v>187</v>
      </c>
      <c r="G85" s="7">
        <v>3.9</v>
      </c>
      <c r="N85" s="27"/>
      <c r="O85" s="27"/>
      <c r="P85" s="62"/>
      <c r="Q85" s="51"/>
      <c r="R85" s="62"/>
      <c r="AC85" s="28"/>
    </row>
    <row r="86" spans="1:49">
      <c r="A86" s="8">
        <v>82</v>
      </c>
      <c r="B86" s="3">
        <v>44391</v>
      </c>
      <c r="C86" s="4">
        <v>0.36813657407407402</v>
      </c>
      <c r="D86" s="5">
        <v>-7.61</v>
      </c>
      <c r="E86" s="5">
        <v>107.719999999999</v>
      </c>
      <c r="F86" s="6">
        <v>10</v>
      </c>
      <c r="G86" s="7">
        <v>2.9</v>
      </c>
      <c r="N86" s="27"/>
      <c r="O86" s="27"/>
      <c r="P86" s="62"/>
      <c r="Q86" s="51"/>
      <c r="R86" s="62"/>
      <c r="AC86" s="28"/>
    </row>
    <row r="87" spans="1:49">
      <c r="A87" s="8">
        <v>83</v>
      </c>
      <c r="B87" s="3">
        <v>44395</v>
      </c>
      <c r="C87" s="4">
        <v>0.51232638888888904</v>
      </c>
      <c r="D87" s="5">
        <v>-6.63</v>
      </c>
      <c r="E87" s="5">
        <v>107.739999999999</v>
      </c>
      <c r="F87" s="6">
        <v>265</v>
      </c>
      <c r="G87" s="7">
        <v>2.9</v>
      </c>
      <c r="N87" s="27"/>
      <c r="O87" s="27"/>
      <c r="P87" s="62"/>
      <c r="Q87" s="51"/>
      <c r="R87" s="62"/>
      <c r="AC87" s="28"/>
    </row>
    <row r="88" spans="1:49">
      <c r="A88" s="8">
        <v>84</v>
      </c>
      <c r="B88" s="3">
        <v>44399</v>
      </c>
      <c r="C88" s="4">
        <v>0.932997685185185</v>
      </c>
      <c r="D88" s="5">
        <v>-7.79</v>
      </c>
      <c r="E88" s="5">
        <v>107.31</v>
      </c>
      <c r="F88" s="6">
        <v>28</v>
      </c>
      <c r="G88" s="7">
        <v>3.9</v>
      </c>
      <c r="AC88" s="28"/>
    </row>
    <row r="89" spans="1:49">
      <c r="A89" s="8">
        <v>85</v>
      </c>
      <c r="B89" s="3">
        <v>44407</v>
      </c>
      <c r="C89" s="4">
        <v>0.34591435185185199</v>
      </c>
      <c r="D89" s="5">
        <v>-6.83</v>
      </c>
      <c r="E89" s="5">
        <v>106.659999999999</v>
      </c>
      <c r="F89" s="6">
        <v>101</v>
      </c>
      <c r="G89" s="7">
        <v>3.3</v>
      </c>
      <c r="AC89" s="28"/>
    </row>
    <row r="90" spans="1:49">
      <c r="A90" s="8">
        <v>86</v>
      </c>
      <c r="B90" s="3">
        <v>44407</v>
      </c>
      <c r="C90" s="4">
        <v>0.70513888888888898</v>
      </c>
      <c r="D90" s="5">
        <v>-7.62</v>
      </c>
      <c r="E90" s="5">
        <v>106.93</v>
      </c>
      <c r="F90" s="6">
        <v>49</v>
      </c>
      <c r="G90" s="7">
        <v>3.4</v>
      </c>
      <c r="AC90" s="28"/>
    </row>
    <row r="91" spans="1:49">
      <c r="A91" s="8">
        <v>87</v>
      </c>
      <c r="B91" s="3">
        <v>44410</v>
      </c>
      <c r="C91" s="4">
        <v>0.76648148148148199</v>
      </c>
      <c r="D91" s="5">
        <v>-7.6</v>
      </c>
      <c r="E91" s="5">
        <v>108.439999999999</v>
      </c>
      <c r="F91" s="6">
        <v>89</v>
      </c>
      <c r="G91" s="7">
        <v>3.5</v>
      </c>
      <c r="AC91" s="28"/>
      <c r="AU91" s="91"/>
      <c r="AV91" s="91"/>
      <c r="AW91" s="91"/>
    </row>
    <row r="92" spans="1:49">
      <c r="A92" s="8">
        <v>88</v>
      </c>
      <c r="B92" s="3">
        <v>44411</v>
      </c>
      <c r="C92" s="4">
        <v>0.92539351851851803</v>
      </c>
      <c r="D92" s="5">
        <v>-6.42</v>
      </c>
      <c r="E92" s="5">
        <v>107.209999999999</v>
      </c>
      <c r="F92" s="6">
        <v>299</v>
      </c>
      <c r="G92" s="7">
        <v>2.9</v>
      </c>
      <c r="AC92" s="28"/>
      <c r="AU92" s="91"/>
      <c r="AV92" s="91"/>
      <c r="AW92" s="91"/>
    </row>
    <row r="93" spans="1:49">
      <c r="A93" s="8">
        <v>89</v>
      </c>
      <c r="B93" s="3">
        <v>44413</v>
      </c>
      <c r="C93" s="4">
        <v>0.78704861111111102</v>
      </c>
      <c r="D93" s="5">
        <v>-7.7</v>
      </c>
      <c r="E93" s="5">
        <v>106.53</v>
      </c>
      <c r="F93" s="6">
        <v>19</v>
      </c>
      <c r="G93" s="7">
        <v>4.2</v>
      </c>
      <c r="AC93" s="28"/>
      <c r="AU93" s="91"/>
      <c r="AV93" s="91"/>
      <c r="AW93" s="91"/>
    </row>
    <row r="94" spans="1:49">
      <c r="A94" s="8">
        <v>90</v>
      </c>
      <c r="B94" s="3">
        <v>44415</v>
      </c>
      <c r="C94" s="4">
        <v>0.63865740740740695</v>
      </c>
      <c r="D94" s="5">
        <v>-7.19</v>
      </c>
      <c r="E94" s="5">
        <v>108.43</v>
      </c>
      <c r="F94" s="6">
        <v>11</v>
      </c>
      <c r="G94" s="7">
        <v>2.5</v>
      </c>
      <c r="AC94" s="28"/>
    </row>
    <row r="95" spans="1:49">
      <c r="A95" s="8">
        <v>91</v>
      </c>
      <c r="B95" s="3">
        <v>44415</v>
      </c>
      <c r="C95" s="4">
        <v>0.81613425925925898</v>
      </c>
      <c r="D95" s="5">
        <v>-7.26</v>
      </c>
      <c r="E95" s="5">
        <v>107.579999999999</v>
      </c>
      <c r="F95" s="6">
        <v>10</v>
      </c>
      <c r="G95" s="7">
        <v>2.6</v>
      </c>
      <c r="AC95" s="28"/>
    </row>
    <row r="96" spans="1:49">
      <c r="A96" s="8">
        <v>92</v>
      </c>
      <c r="B96" s="3">
        <v>44416</v>
      </c>
      <c r="C96" s="4">
        <v>0.82013888888888897</v>
      </c>
      <c r="D96" s="5">
        <v>-7.77</v>
      </c>
      <c r="E96" s="5">
        <v>106.93</v>
      </c>
      <c r="F96" s="6">
        <v>21</v>
      </c>
      <c r="G96" s="7">
        <v>3.1</v>
      </c>
      <c r="AC96" s="28"/>
    </row>
    <row r="97" spans="1:29">
      <c r="A97" s="8">
        <v>93</v>
      </c>
      <c r="B97" s="3">
        <v>44425</v>
      </c>
      <c r="C97" s="4">
        <v>0.15303240740740701</v>
      </c>
      <c r="D97" s="5">
        <v>-7.08</v>
      </c>
      <c r="E97" s="5">
        <v>106.989999999999</v>
      </c>
      <c r="F97" s="6">
        <v>161</v>
      </c>
      <c r="G97" s="7">
        <v>3.4</v>
      </c>
      <c r="AC97" s="28"/>
    </row>
    <row r="98" spans="1:29">
      <c r="A98" s="8">
        <v>94</v>
      </c>
      <c r="B98" s="3">
        <v>44427</v>
      </c>
      <c r="C98" s="4">
        <v>0.59127314814814802</v>
      </c>
      <c r="D98" s="5">
        <v>-7.18</v>
      </c>
      <c r="E98" s="5">
        <v>107.219999999999</v>
      </c>
      <c r="F98" s="6">
        <v>10</v>
      </c>
      <c r="G98" s="7">
        <v>3.2</v>
      </c>
      <c r="AC98" s="28"/>
    </row>
    <row r="99" spans="1:29">
      <c r="A99" s="8">
        <v>95</v>
      </c>
      <c r="B99" s="3">
        <v>44427</v>
      </c>
      <c r="C99" s="4">
        <v>0.83865740740740735</v>
      </c>
      <c r="D99" s="5">
        <v>-7.3959999999999999</v>
      </c>
      <c r="E99" s="5">
        <v>106.803</v>
      </c>
      <c r="F99" s="6">
        <v>119</v>
      </c>
      <c r="G99" s="7">
        <v>4.0999999999999996</v>
      </c>
      <c r="AC99" s="28"/>
    </row>
    <row r="100" spans="1:29">
      <c r="A100" s="8">
        <v>96</v>
      </c>
      <c r="B100" s="3">
        <v>44428</v>
      </c>
      <c r="C100" s="4">
        <v>0.39432870370370399</v>
      </c>
      <c r="D100" s="5">
        <v>-7.54</v>
      </c>
      <c r="E100" s="5">
        <v>106.92</v>
      </c>
      <c r="F100" s="6">
        <v>96</v>
      </c>
      <c r="G100" s="7">
        <v>2.9</v>
      </c>
      <c r="AC100" s="28"/>
    </row>
    <row r="101" spans="1:29">
      <c r="A101" s="8">
        <v>97</v>
      </c>
      <c r="B101" s="3">
        <v>44435</v>
      </c>
      <c r="C101" s="4">
        <v>0.95604166666666701</v>
      </c>
      <c r="D101" s="5">
        <v>-7.53</v>
      </c>
      <c r="E101" s="5">
        <v>106.7</v>
      </c>
      <c r="F101" s="6">
        <v>27</v>
      </c>
      <c r="G101" s="7">
        <v>4.4000000000000004</v>
      </c>
      <c r="AC101" s="28"/>
    </row>
    <row r="102" spans="1:29">
      <c r="A102" s="8">
        <v>98</v>
      </c>
      <c r="B102" s="3">
        <v>44437</v>
      </c>
      <c r="C102" s="4">
        <v>0.50940972222222203</v>
      </c>
      <c r="D102" s="5">
        <v>-6.55</v>
      </c>
      <c r="E102" s="5">
        <v>108.04</v>
      </c>
      <c r="F102" s="6">
        <v>297</v>
      </c>
      <c r="G102" s="7">
        <v>3.3</v>
      </c>
      <c r="AC102" s="28"/>
    </row>
    <row r="103" spans="1:29">
      <c r="A103" s="8">
        <v>99</v>
      </c>
      <c r="B103" s="3">
        <v>44437</v>
      </c>
      <c r="C103" s="4">
        <v>0.12115740740740701</v>
      </c>
      <c r="D103" s="5">
        <v>-6.61</v>
      </c>
      <c r="E103" s="5">
        <v>107</v>
      </c>
      <c r="F103" s="6">
        <v>155</v>
      </c>
      <c r="G103" s="7">
        <v>3</v>
      </c>
      <c r="AC103" s="28"/>
    </row>
    <row r="104" spans="1:29">
      <c r="A104" s="8">
        <v>100</v>
      </c>
      <c r="B104" s="3">
        <v>44439</v>
      </c>
      <c r="C104" s="4">
        <v>2.3425925925925899E-2</v>
      </c>
      <c r="D104" s="5">
        <v>-7.68</v>
      </c>
      <c r="E104" s="5">
        <v>108.4</v>
      </c>
      <c r="F104" s="6">
        <v>96</v>
      </c>
      <c r="G104" s="7">
        <v>3.8</v>
      </c>
      <c r="AC104" s="28"/>
    </row>
    <row r="105" spans="1:29">
      <c r="A105" s="8">
        <v>101</v>
      </c>
      <c r="B105" s="3">
        <v>44449</v>
      </c>
      <c r="C105" s="4">
        <v>0.763506944444444</v>
      </c>
      <c r="D105" s="5">
        <v>-7.07</v>
      </c>
      <c r="E105" s="5">
        <v>108.079999999999</v>
      </c>
      <c r="F105" s="6">
        <v>166</v>
      </c>
      <c r="G105" s="7">
        <v>3.9</v>
      </c>
      <c r="AC105" s="28"/>
    </row>
    <row r="106" spans="1:29">
      <c r="A106" s="8">
        <v>102</v>
      </c>
      <c r="B106" s="3">
        <v>44454</v>
      </c>
      <c r="C106" s="4">
        <v>0.46462962962963</v>
      </c>
      <c r="D106" s="5">
        <v>-6.44</v>
      </c>
      <c r="E106" s="5">
        <v>108.01</v>
      </c>
      <c r="F106" s="6">
        <v>295</v>
      </c>
      <c r="G106" s="7">
        <v>4.5999999999999996</v>
      </c>
      <c r="AC106" s="28"/>
    </row>
    <row r="107" spans="1:29">
      <c r="A107" s="8">
        <v>103</v>
      </c>
      <c r="B107" s="3">
        <v>44457</v>
      </c>
      <c r="C107" s="4">
        <v>0.71606481481481499</v>
      </c>
      <c r="D107" s="5">
        <v>-7.18</v>
      </c>
      <c r="E107" s="5">
        <v>107.599999999999</v>
      </c>
      <c r="F107" s="6">
        <v>10</v>
      </c>
      <c r="G107" s="7">
        <v>2.5</v>
      </c>
      <c r="AC107" s="28"/>
    </row>
    <row r="108" spans="1:29">
      <c r="A108" s="8">
        <v>104</v>
      </c>
      <c r="B108" s="3">
        <v>44457</v>
      </c>
      <c r="C108" s="4">
        <v>0.98528935185185185</v>
      </c>
      <c r="D108" s="5">
        <v>-7.3979999999999997</v>
      </c>
      <c r="E108" s="5">
        <v>106.63800000000001</v>
      </c>
      <c r="F108" s="6">
        <v>68</v>
      </c>
      <c r="G108" s="7">
        <v>4.5999999999999996</v>
      </c>
      <c r="AC108" s="28"/>
    </row>
    <row r="109" spans="1:29">
      <c r="A109" s="8">
        <v>105</v>
      </c>
      <c r="B109" s="3">
        <v>44459</v>
      </c>
      <c r="C109" s="4">
        <v>0.72241898148148198</v>
      </c>
      <c r="D109" s="5">
        <v>-7.2</v>
      </c>
      <c r="E109" s="5">
        <v>107.59</v>
      </c>
      <c r="F109" s="6">
        <v>13</v>
      </c>
      <c r="G109" s="7">
        <v>2.5</v>
      </c>
      <c r="AC109" s="28"/>
    </row>
    <row r="110" spans="1:29">
      <c r="A110" s="8">
        <v>106</v>
      </c>
      <c r="B110" s="3">
        <v>44461</v>
      </c>
      <c r="C110" s="4">
        <v>0.12737268518518499</v>
      </c>
      <c r="D110" s="5">
        <v>-7.79</v>
      </c>
      <c r="E110" s="5">
        <v>107.26</v>
      </c>
      <c r="F110" s="6">
        <v>28</v>
      </c>
      <c r="G110" s="7">
        <v>2.9</v>
      </c>
      <c r="AC110" s="28"/>
    </row>
    <row r="111" spans="1:29">
      <c r="A111" s="8">
        <v>107</v>
      </c>
      <c r="B111" s="3">
        <v>44471</v>
      </c>
      <c r="C111" s="4">
        <v>0.60241898148148099</v>
      </c>
      <c r="D111" s="5">
        <v>-7.21</v>
      </c>
      <c r="E111" s="5">
        <v>106.689999999999</v>
      </c>
      <c r="F111" s="6">
        <v>99</v>
      </c>
      <c r="G111" s="7">
        <v>2.8</v>
      </c>
      <c r="AC111" s="28"/>
    </row>
    <row r="112" spans="1:29">
      <c r="A112" s="8">
        <v>108</v>
      </c>
      <c r="B112" s="3">
        <v>44472</v>
      </c>
      <c r="C112" s="4">
        <v>0.39021990740740697</v>
      </c>
      <c r="D112" s="5">
        <v>-7.81</v>
      </c>
      <c r="E112" s="5">
        <v>106.599999999999</v>
      </c>
      <c r="F112" s="6">
        <v>10</v>
      </c>
      <c r="G112" s="7">
        <v>3.7</v>
      </c>
      <c r="AC112" s="28"/>
    </row>
    <row r="113" spans="1:29">
      <c r="A113" s="8">
        <v>109</v>
      </c>
      <c r="B113" s="3">
        <v>44475</v>
      </c>
      <c r="C113" s="4">
        <v>0.81868055555555597</v>
      </c>
      <c r="D113" s="5">
        <v>-6.53</v>
      </c>
      <c r="E113" s="5">
        <v>107.379999999999</v>
      </c>
      <c r="F113" s="6">
        <v>10</v>
      </c>
      <c r="G113" s="7">
        <v>3.2</v>
      </c>
      <c r="AC113" s="28"/>
    </row>
    <row r="114" spans="1:29">
      <c r="A114" s="8">
        <v>110</v>
      </c>
      <c r="B114" s="3">
        <v>44476</v>
      </c>
      <c r="C114" s="4">
        <v>0.87008101851851805</v>
      </c>
      <c r="D114" s="5">
        <v>-7.33</v>
      </c>
      <c r="E114" s="5">
        <v>106.909999999999</v>
      </c>
      <c r="F114" s="6">
        <v>110</v>
      </c>
      <c r="G114" s="7">
        <v>2.7</v>
      </c>
      <c r="AC114" s="28"/>
    </row>
    <row r="115" spans="1:29">
      <c r="A115" s="8">
        <v>111</v>
      </c>
      <c r="B115" s="3">
        <v>44477</v>
      </c>
      <c r="C115" s="4">
        <v>0.62260416666666696</v>
      </c>
      <c r="D115" s="5">
        <v>-7.6</v>
      </c>
      <c r="E115" s="5">
        <v>106.56</v>
      </c>
      <c r="F115" s="6">
        <v>27</v>
      </c>
      <c r="G115" s="7">
        <v>4.5999999999999996</v>
      </c>
      <c r="AC115" s="28"/>
    </row>
    <row r="116" spans="1:29">
      <c r="A116" s="8">
        <v>112</v>
      </c>
      <c r="B116" s="3">
        <v>44478</v>
      </c>
      <c r="C116" s="4">
        <v>0.397824074074074</v>
      </c>
      <c r="D116" s="5">
        <v>-7.6</v>
      </c>
      <c r="E116" s="5">
        <v>107.34</v>
      </c>
      <c r="F116" s="6">
        <v>62</v>
      </c>
      <c r="G116" s="7">
        <v>3.1</v>
      </c>
      <c r="AC116" s="28"/>
    </row>
    <row r="117" spans="1:29">
      <c r="A117" s="8">
        <v>113</v>
      </c>
      <c r="B117" s="3">
        <v>44480</v>
      </c>
      <c r="C117" s="4">
        <v>4.7453703703703703E-3</v>
      </c>
      <c r="D117" s="5">
        <v>-7.6</v>
      </c>
      <c r="E117" s="5">
        <v>107.969999999999</v>
      </c>
      <c r="F117" s="6">
        <v>10</v>
      </c>
      <c r="G117" s="7">
        <v>3.4</v>
      </c>
      <c r="AC117" s="28"/>
    </row>
    <row r="118" spans="1:29">
      <c r="A118" s="8">
        <v>114</v>
      </c>
      <c r="B118" s="3">
        <v>44480</v>
      </c>
      <c r="C118" s="4">
        <v>0.34586805555555555</v>
      </c>
      <c r="D118" s="5">
        <v>-6.7990000000000004</v>
      </c>
      <c r="E118" s="5">
        <v>106.504</v>
      </c>
      <c r="F118" s="6">
        <v>106</v>
      </c>
      <c r="G118" s="7">
        <v>4.0999999999999996</v>
      </c>
      <c r="AC118" s="28"/>
    </row>
    <row r="119" spans="1:29">
      <c r="A119" s="8">
        <v>115</v>
      </c>
      <c r="B119" s="3">
        <v>44480</v>
      </c>
      <c r="C119" s="4">
        <v>0.72412037037037003</v>
      </c>
      <c r="D119" s="5">
        <v>-7.05</v>
      </c>
      <c r="E119" s="5">
        <v>106.79</v>
      </c>
      <c r="F119" s="6">
        <v>10</v>
      </c>
      <c r="G119" s="7">
        <v>2.4</v>
      </c>
      <c r="AC119" s="28"/>
    </row>
    <row r="120" spans="1:29">
      <c r="A120" s="8">
        <v>116</v>
      </c>
      <c r="B120" s="3">
        <v>44480</v>
      </c>
      <c r="C120" s="4">
        <v>0.83675925925925898</v>
      </c>
      <c r="D120" s="5">
        <v>-7.65</v>
      </c>
      <c r="E120" s="5">
        <v>106.53</v>
      </c>
      <c r="F120" s="6">
        <v>43</v>
      </c>
      <c r="G120" s="7">
        <v>4.4000000000000004</v>
      </c>
      <c r="AC120" s="28"/>
    </row>
    <row r="121" spans="1:29">
      <c r="A121" s="8">
        <v>117</v>
      </c>
      <c r="B121" s="3">
        <v>44483</v>
      </c>
      <c r="C121" s="4">
        <v>0.90797453703703701</v>
      </c>
      <c r="D121" s="5">
        <v>-6.9</v>
      </c>
      <c r="E121" s="5">
        <v>106.609999999999</v>
      </c>
      <c r="F121" s="6">
        <v>140</v>
      </c>
      <c r="G121" s="7">
        <v>2.2999999999999998</v>
      </c>
      <c r="AC121" s="28"/>
    </row>
    <row r="122" spans="1:29">
      <c r="A122" s="8">
        <v>118</v>
      </c>
      <c r="B122" s="3">
        <v>44484</v>
      </c>
      <c r="C122" s="4">
        <v>0.63789351851851805</v>
      </c>
      <c r="D122" s="5">
        <v>-7.7</v>
      </c>
      <c r="E122" s="5">
        <v>106.969999999999</v>
      </c>
      <c r="F122" s="6">
        <v>28</v>
      </c>
      <c r="G122" s="7">
        <v>2.6</v>
      </c>
      <c r="AC122" s="28"/>
    </row>
    <row r="123" spans="1:29">
      <c r="A123" s="8">
        <v>119</v>
      </c>
      <c r="B123" s="3">
        <v>44488</v>
      </c>
      <c r="C123" s="4">
        <v>0.164907407407407</v>
      </c>
      <c r="D123" s="5">
        <v>-6.45</v>
      </c>
      <c r="E123" s="5">
        <v>107.29</v>
      </c>
      <c r="F123" s="6">
        <v>10</v>
      </c>
      <c r="G123" s="7">
        <v>2.8</v>
      </c>
      <c r="AC123" s="28"/>
    </row>
    <row r="124" spans="1:29">
      <c r="A124" s="8">
        <v>120</v>
      </c>
      <c r="B124" s="3">
        <v>44489</v>
      </c>
      <c r="C124" s="4">
        <v>0.88500000000000001</v>
      </c>
      <c r="D124" s="5">
        <v>-7.87</v>
      </c>
      <c r="E124" s="5">
        <v>107.019999999999</v>
      </c>
      <c r="F124" s="6">
        <v>11</v>
      </c>
      <c r="G124" s="7">
        <v>2.8</v>
      </c>
      <c r="AC124" s="28"/>
    </row>
    <row r="125" spans="1:29">
      <c r="A125" s="8">
        <v>121</v>
      </c>
      <c r="B125" s="3">
        <v>44490</v>
      </c>
      <c r="C125" s="4">
        <v>0.434270833333333</v>
      </c>
      <c r="D125" s="5">
        <v>-7.75</v>
      </c>
      <c r="E125" s="5">
        <v>106.569999999999</v>
      </c>
      <c r="F125" s="6">
        <v>20</v>
      </c>
      <c r="G125" s="7">
        <v>3.8</v>
      </c>
      <c r="AC125" s="28"/>
    </row>
    <row r="126" spans="1:29">
      <c r="A126" s="8">
        <v>122</v>
      </c>
      <c r="B126" s="3">
        <v>44490</v>
      </c>
      <c r="C126" s="4">
        <v>0.90802083333333306</v>
      </c>
      <c r="D126" s="5">
        <v>-6.64</v>
      </c>
      <c r="E126" s="5">
        <v>107.799999999999</v>
      </c>
      <c r="F126" s="6">
        <v>10</v>
      </c>
      <c r="G126" s="7">
        <v>3.3</v>
      </c>
      <c r="AC126" s="28"/>
    </row>
    <row r="127" spans="1:29">
      <c r="A127" s="8">
        <v>123</v>
      </c>
      <c r="B127" s="3">
        <v>44490</v>
      </c>
      <c r="C127" s="4">
        <v>0.36204861111111097</v>
      </c>
      <c r="D127" s="5">
        <v>-7.3</v>
      </c>
      <c r="E127" s="5">
        <v>107.68</v>
      </c>
      <c r="F127" s="6">
        <v>10</v>
      </c>
      <c r="G127" s="7">
        <v>3</v>
      </c>
      <c r="AC127" s="28"/>
    </row>
    <row r="128" spans="1:29">
      <c r="A128" s="8">
        <v>124</v>
      </c>
      <c r="B128" s="3">
        <v>44491</v>
      </c>
      <c r="C128" s="4">
        <v>0.33100694444444401</v>
      </c>
      <c r="D128" s="5">
        <v>-7.49</v>
      </c>
      <c r="E128" s="5">
        <v>107.379999999999</v>
      </c>
      <c r="F128" s="6">
        <v>10</v>
      </c>
      <c r="G128" s="7">
        <v>2.9</v>
      </c>
      <c r="AC128" s="28"/>
    </row>
    <row r="129" spans="1:29">
      <c r="A129" s="8">
        <v>125</v>
      </c>
      <c r="B129" s="3">
        <v>44493</v>
      </c>
      <c r="C129" s="4">
        <v>1.6064814814814799E-2</v>
      </c>
      <c r="D129" s="5">
        <v>-7.73</v>
      </c>
      <c r="E129" s="5">
        <v>107.359999999999</v>
      </c>
      <c r="F129" s="6">
        <v>17</v>
      </c>
      <c r="G129" s="7">
        <v>3.5</v>
      </c>
      <c r="AC129" s="28"/>
    </row>
    <row r="130" spans="1:29">
      <c r="A130" s="8">
        <v>126</v>
      </c>
      <c r="B130" s="3">
        <v>44496</v>
      </c>
      <c r="C130" s="4">
        <v>0.753576388888889</v>
      </c>
      <c r="D130" s="5">
        <v>-7.07</v>
      </c>
      <c r="E130" s="5">
        <v>107.409999999999</v>
      </c>
      <c r="F130" s="6">
        <v>5</v>
      </c>
      <c r="G130" s="7">
        <v>2.6</v>
      </c>
      <c r="AC130" s="28"/>
    </row>
    <row r="131" spans="1:29">
      <c r="A131" s="8">
        <v>127</v>
      </c>
      <c r="B131" s="3">
        <v>44498</v>
      </c>
      <c r="C131" s="4">
        <v>0.71152777777777798</v>
      </c>
      <c r="D131" s="5">
        <v>-7.55</v>
      </c>
      <c r="E131" s="5">
        <v>107.37</v>
      </c>
      <c r="F131" s="6">
        <v>10</v>
      </c>
      <c r="G131" s="7">
        <v>3.1</v>
      </c>
      <c r="AC131" s="28"/>
    </row>
    <row r="132" spans="1:29">
      <c r="A132" s="8">
        <v>128</v>
      </c>
      <c r="B132" s="3">
        <v>44501</v>
      </c>
      <c r="C132" s="4">
        <v>0.112361111111111</v>
      </c>
      <c r="D132" s="5">
        <v>-7.8</v>
      </c>
      <c r="E132" s="5">
        <v>106.93</v>
      </c>
      <c r="F132" s="6">
        <v>10</v>
      </c>
      <c r="G132" s="7">
        <v>3.8</v>
      </c>
      <c r="AC132" s="28"/>
    </row>
    <row r="133" spans="1:29">
      <c r="A133" s="8">
        <v>129</v>
      </c>
      <c r="B133" s="3">
        <v>44506</v>
      </c>
      <c r="C133" s="4">
        <v>0.30990740740740702</v>
      </c>
      <c r="D133" s="5">
        <v>-7.46</v>
      </c>
      <c r="E133" s="5">
        <v>107.51</v>
      </c>
      <c r="F133" s="6">
        <v>47</v>
      </c>
      <c r="G133" s="7">
        <v>2.6</v>
      </c>
      <c r="AC133" s="28"/>
    </row>
    <row r="134" spans="1:29">
      <c r="A134" s="8">
        <v>130</v>
      </c>
      <c r="B134" s="3">
        <v>44510</v>
      </c>
      <c r="C134" s="4">
        <v>0.112222222222222</v>
      </c>
      <c r="D134" s="5">
        <v>-6.99</v>
      </c>
      <c r="E134" s="5">
        <v>107.09</v>
      </c>
      <c r="F134" s="6">
        <v>17</v>
      </c>
      <c r="G134" s="7">
        <v>2.2000000000000002</v>
      </c>
      <c r="AC134" s="28"/>
    </row>
    <row r="135" spans="1:29">
      <c r="A135" s="8">
        <v>131</v>
      </c>
      <c r="B135" s="3">
        <v>44511</v>
      </c>
      <c r="C135" s="4">
        <v>0.76348379629629637</v>
      </c>
      <c r="D135" s="5">
        <v>-6.6029999999999998</v>
      </c>
      <c r="E135" s="5">
        <v>108.105</v>
      </c>
      <c r="F135" s="6">
        <v>164</v>
      </c>
      <c r="G135" s="7">
        <v>4.2</v>
      </c>
      <c r="AC135" s="28"/>
    </row>
    <row r="136" spans="1:29">
      <c r="A136" s="8">
        <v>132</v>
      </c>
      <c r="B136" s="3">
        <v>44511</v>
      </c>
      <c r="C136" s="4">
        <v>0.93212962962962997</v>
      </c>
      <c r="D136" s="5">
        <v>-7.73</v>
      </c>
      <c r="E136" s="5">
        <v>106.879999999999</v>
      </c>
      <c r="F136" s="6">
        <v>30</v>
      </c>
      <c r="G136" s="7">
        <v>4.0999999999999996</v>
      </c>
      <c r="AC136" s="28"/>
    </row>
    <row r="137" spans="1:29">
      <c r="A137" s="8">
        <v>133</v>
      </c>
      <c r="B137" s="3">
        <v>44515</v>
      </c>
      <c r="C137" s="4">
        <v>0.358101851851852</v>
      </c>
      <c r="D137" s="5">
        <v>-7.84</v>
      </c>
      <c r="E137" s="5">
        <v>107.25</v>
      </c>
      <c r="F137" s="6">
        <v>25</v>
      </c>
      <c r="G137" s="7">
        <v>3.1</v>
      </c>
    </row>
    <row r="138" spans="1:29">
      <c r="A138" s="8">
        <v>134</v>
      </c>
      <c r="B138" s="3">
        <v>44517</v>
      </c>
      <c r="C138" s="4">
        <v>0.94371527777777797</v>
      </c>
      <c r="D138" s="5">
        <v>-7.86</v>
      </c>
      <c r="E138" s="5">
        <v>107.239999999999</v>
      </c>
      <c r="F138" s="6">
        <v>20</v>
      </c>
      <c r="G138" s="7">
        <v>3.3</v>
      </c>
    </row>
    <row r="139" spans="1:29">
      <c r="A139" s="8">
        <v>135</v>
      </c>
      <c r="B139" s="3">
        <v>44517</v>
      </c>
      <c r="C139" s="4">
        <v>3.89930555555556E-2</v>
      </c>
      <c r="D139" s="5">
        <v>-6.51</v>
      </c>
      <c r="E139" s="5">
        <v>107.26</v>
      </c>
      <c r="F139" s="6">
        <v>10</v>
      </c>
      <c r="G139" s="7">
        <v>2.9</v>
      </c>
    </row>
    <row r="140" spans="1:29">
      <c r="A140" s="8">
        <v>136</v>
      </c>
      <c r="B140" s="3">
        <v>44520</v>
      </c>
      <c r="C140" s="4">
        <v>0.56164351851851901</v>
      </c>
      <c r="D140" s="5">
        <v>-7.23</v>
      </c>
      <c r="E140" s="5">
        <v>107.7</v>
      </c>
      <c r="F140" s="6">
        <v>10</v>
      </c>
      <c r="G140" s="7">
        <v>2.4</v>
      </c>
    </row>
    <row r="141" spans="1:29">
      <c r="A141" s="8">
        <v>137</v>
      </c>
      <c r="B141" s="3">
        <v>44521</v>
      </c>
      <c r="C141" s="4">
        <v>0.52388888888888896</v>
      </c>
      <c r="D141" s="5">
        <v>-7.75</v>
      </c>
      <c r="E141" s="5">
        <v>107.28</v>
      </c>
      <c r="F141" s="6">
        <v>34</v>
      </c>
      <c r="G141" s="7">
        <v>3.2</v>
      </c>
    </row>
    <row r="142" spans="1:29">
      <c r="A142" s="8">
        <v>138</v>
      </c>
      <c r="B142" s="3">
        <v>44524</v>
      </c>
      <c r="C142" s="4">
        <v>0.39142361111111101</v>
      </c>
      <c r="D142" s="5">
        <v>-7.75</v>
      </c>
      <c r="E142" s="5">
        <v>106.909999999999</v>
      </c>
      <c r="F142" s="6">
        <v>58</v>
      </c>
      <c r="G142" s="7">
        <v>5</v>
      </c>
    </row>
    <row r="143" spans="1:29">
      <c r="A143" s="8">
        <v>139</v>
      </c>
      <c r="B143" s="3">
        <v>44529</v>
      </c>
      <c r="C143" s="4">
        <v>0.71789351851851801</v>
      </c>
      <c r="D143" s="5">
        <v>-7.74</v>
      </c>
      <c r="E143" s="5">
        <v>107.269999999999</v>
      </c>
      <c r="F143" s="6">
        <v>32</v>
      </c>
      <c r="G143" s="7">
        <v>2.5</v>
      </c>
    </row>
  </sheetData>
  <sortState xmlns:xlrd2="http://schemas.microsoft.com/office/spreadsheetml/2017/richdata2" ref="N33:R87">
    <sortCondition ref="R33:R87"/>
  </sortState>
  <mergeCells count="28">
    <mergeCell ref="AE53:AE54"/>
    <mergeCell ref="AE55:AE57"/>
    <mergeCell ref="AF3:AF19"/>
    <mergeCell ref="AF20:AF26"/>
    <mergeCell ref="AF27:AF36"/>
    <mergeCell ref="AF37:AF52"/>
    <mergeCell ref="AF53:AF54"/>
    <mergeCell ref="AF55:AF57"/>
    <mergeCell ref="AH31:AI31"/>
    <mergeCell ref="AH37:AI37"/>
    <mergeCell ref="AH15:AI15"/>
    <mergeCell ref="AE3:AE19"/>
    <mergeCell ref="AE20:AE26"/>
    <mergeCell ref="AE27:AE36"/>
    <mergeCell ref="AE37:AE52"/>
    <mergeCell ref="AH23:AI23"/>
    <mergeCell ref="N19:P19"/>
    <mergeCell ref="M18:Q18"/>
    <mergeCell ref="AL2:AM2"/>
    <mergeCell ref="A3:A4"/>
    <mergeCell ref="A2:G2"/>
    <mergeCell ref="G3:G4"/>
    <mergeCell ref="B3:B4"/>
    <mergeCell ref="C3:C4"/>
    <mergeCell ref="D3:D4"/>
    <mergeCell ref="E3:E4"/>
    <mergeCell ref="F3:F4"/>
    <mergeCell ref="I1:K2"/>
  </mergeCells>
  <pageMargins left="0.7" right="0.7" top="0.75" bottom="0.75" header="0.3" footer="0.3"/>
  <pageSetup orientation="portrait" r:id="rId1"/>
  <ignoredErrors>
    <ignoredError sqref="AI3 AI4:AI12 AE20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BC8B-AE54-4B9F-AD72-1DBE75AE016F}">
  <dimension ref="A1:BP143"/>
  <sheetViews>
    <sheetView topLeftCell="AR19" zoomScale="80" zoomScaleNormal="80" workbookViewId="0">
      <selection activeCell="BF35" sqref="BF35"/>
    </sheetView>
  </sheetViews>
  <sheetFormatPr defaultRowHeight="15"/>
  <cols>
    <col min="1" max="1" width="7.28515625" customWidth="1"/>
    <col min="2" max="2" width="13" customWidth="1"/>
    <col min="3" max="3" width="10.85546875" customWidth="1"/>
    <col min="4" max="4" width="10.42578125" customWidth="1"/>
    <col min="5" max="5" width="12" customWidth="1"/>
    <col min="6" max="6" width="15.7109375" customWidth="1"/>
    <col min="7" max="7" width="13.42578125" customWidth="1"/>
    <col min="11" max="12" width="9.140625" customWidth="1"/>
    <col min="13" max="13" width="20.5703125" customWidth="1"/>
    <col min="14" max="14" width="14.5703125" customWidth="1"/>
    <col min="15" max="15" width="9.140625" customWidth="1"/>
    <col min="27" max="27" width="14" customWidth="1"/>
    <col min="30" max="30" width="15.85546875" customWidth="1"/>
    <col min="31" max="31" width="14.28515625" customWidth="1"/>
    <col min="32" max="32" width="11.42578125" customWidth="1"/>
    <col min="34" max="34" width="11.5703125" customWidth="1"/>
    <col min="35" max="35" width="12.85546875" customWidth="1"/>
    <col min="36" max="36" width="11.140625" customWidth="1"/>
    <col min="37" max="37" width="11.28515625" customWidth="1"/>
    <col min="38" max="38" width="12.85546875" customWidth="1"/>
    <col min="39" max="39" width="11.85546875" customWidth="1"/>
    <col min="45" max="45" width="9.5703125" customWidth="1"/>
    <col min="46" max="46" width="9.85546875" customWidth="1"/>
    <col min="47" max="47" width="10.7109375" customWidth="1"/>
    <col min="48" max="48" width="11" customWidth="1"/>
    <col min="49" max="49" width="10.5703125" customWidth="1"/>
    <col min="57" max="57" width="11.140625" customWidth="1"/>
    <col min="60" max="60" width="11.28515625" customWidth="1"/>
    <col min="64" max="64" width="12.140625" customWidth="1"/>
  </cols>
  <sheetData>
    <row r="1" spans="1:68" ht="15" customHeight="1">
      <c r="AR1" s="143" t="s">
        <v>66</v>
      </c>
      <c r="AS1" s="143"/>
      <c r="AT1" s="143"/>
      <c r="AU1" s="144" t="s">
        <v>78</v>
      </c>
      <c r="AV1" s="145"/>
      <c r="BD1" s="143" t="s">
        <v>58</v>
      </c>
      <c r="BE1" s="143"/>
      <c r="BF1" s="143"/>
      <c r="BH1" s="143" t="s">
        <v>60</v>
      </c>
      <c r="BI1" s="163"/>
      <c r="BJ1" s="144" t="s">
        <v>81</v>
      </c>
      <c r="BK1" s="144" t="s">
        <v>82</v>
      </c>
      <c r="BN1" s="161" t="s">
        <v>63</v>
      </c>
      <c r="BO1" s="161" t="s">
        <v>56</v>
      </c>
      <c r="BP1" s="161"/>
    </row>
    <row r="2" spans="1:68">
      <c r="A2" s="148" t="s">
        <v>6</v>
      </c>
      <c r="B2" s="149"/>
      <c r="C2" s="149"/>
      <c r="D2" s="149"/>
      <c r="E2" s="149"/>
      <c r="F2" s="149"/>
      <c r="G2" s="150"/>
      <c r="K2" s="31">
        <v>3.2</v>
      </c>
      <c r="L2" s="31">
        <v>2.7</v>
      </c>
      <c r="M2" s="31">
        <v>3.2</v>
      </c>
      <c r="N2" s="31">
        <v>3.2</v>
      </c>
      <c r="O2" s="31">
        <v>2.2000000000000002</v>
      </c>
      <c r="P2" s="31">
        <v>3.6</v>
      </c>
      <c r="Q2" s="31">
        <v>3.1</v>
      </c>
      <c r="R2" s="31">
        <v>3.5</v>
      </c>
      <c r="S2" s="31">
        <v>4.5</v>
      </c>
      <c r="T2" s="32">
        <v>2.8</v>
      </c>
      <c r="AC2" s="19" t="s">
        <v>37</v>
      </c>
      <c r="AD2" s="23"/>
      <c r="AR2" s="143"/>
      <c r="AS2" s="143"/>
      <c r="AT2" s="143"/>
      <c r="AU2" s="145"/>
      <c r="AV2" s="145"/>
      <c r="BD2" s="143"/>
      <c r="BE2" s="143"/>
      <c r="BF2" s="143"/>
      <c r="BH2" s="163"/>
      <c r="BI2" s="163"/>
      <c r="BJ2" s="145"/>
      <c r="BK2" s="144"/>
      <c r="BN2" s="161"/>
      <c r="BO2" s="161"/>
      <c r="BP2" s="161"/>
    </row>
    <row r="3" spans="1:68">
      <c r="A3" s="125" t="s">
        <v>8</v>
      </c>
      <c r="B3" s="151" t="s">
        <v>0</v>
      </c>
      <c r="C3" s="151" t="s">
        <v>1</v>
      </c>
      <c r="D3" s="153" t="s">
        <v>2</v>
      </c>
      <c r="E3" s="155" t="s">
        <v>3</v>
      </c>
      <c r="F3" s="157" t="s">
        <v>4</v>
      </c>
      <c r="G3" s="159" t="s">
        <v>5</v>
      </c>
      <c r="I3" s="11"/>
      <c r="J3" s="21" t="s">
        <v>12</v>
      </c>
      <c r="K3" s="12">
        <v>1</v>
      </c>
      <c r="L3" s="12">
        <v>2</v>
      </c>
      <c r="M3" s="12">
        <v>3</v>
      </c>
      <c r="N3" s="12">
        <v>4</v>
      </c>
      <c r="O3" s="12">
        <v>5</v>
      </c>
      <c r="P3" s="12">
        <v>6</v>
      </c>
      <c r="Q3" s="12">
        <v>7</v>
      </c>
      <c r="R3" s="12">
        <v>8</v>
      </c>
      <c r="S3" s="12">
        <v>9</v>
      </c>
      <c r="T3" s="12">
        <v>10</v>
      </c>
      <c r="U3" s="98">
        <v>11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43</v>
      </c>
      <c r="AC3" s="21" t="s">
        <v>38</v>
      </c>
      <c r="AD3" s="21" t="s">
        <v>39</v>
      </c>
      <c r="AE3" s="21" t="s">
        <v>40</v>
      </c>
      <c r="AF3" s="21" t="s">
        <v>41</v>
      </c>
      <c r="AG3" s="122" t="s">
        <v>42</v>
      </c>
      <c r="AH3" s="124"/>
      <c r="AI3" s="21" t="s">
        <v>43</v>
      </c>
      <c r="AK3" s="21" t="s">
        <v>44</v>
      </c>
      <c r="AL3" s="21" t="s">
        <v>45</v>
      </c>
      <c r="AM3" s="21" t="s">
        <v>46</v>
      </c>
      <c r="AN3" s="21" t="s">
        <v>50</v>
      </c>
      <c r="AO3" s="21" t="s">
        <v>51</v>
      </c>
      <c r="AP3" s="21" t="s">
        <v>52</v>
      </c>
      <c r="AR3" s="69" t="s">
        <v>57</v>
      </c>
      <c r="AS3" s="12">
        <v>1</v>
      </c>
      <c r="AT3" s="12">
        <v>2</v>
      </c>
      <c r="AU3" s="12">
        <v>3</v>
      </c>
      <c r="AV3" s="12">
        <v>4</v>
      </c>
      <c r="AW3" s="12">
        <v>5</v>
      </c>
      <c r="AX3" s="12">
        <v>6</v>
      </c>
      <c r="AY3" s="12">
        <v>7</v>
      </c>
      <c r="AZ3" s="12">
        <v>8</v>
      </c>
      <c r="BA3" s="12">
        <v>9</v>
      </c>
      <c r="BB3" s="12">
        <v>10</v>
      </c>
      <c r="BD3" s="69" t="s">
        <v>59</v>
      </c>
      <c r="BE3" s="12">
        <v>11</v>
      </c>
      <c r="BH3" s="12">
        <v>1</v>
      </c>
      <c r="BI3" s="8">
        <v>-0.38550000000000001</v>
      </c>
      <c r="BJ3" s="8">
        <f t="shared" ref="BJ3:BJ12" si="0">BI3*G5</f>
        <v>-1.2336</v>
      </c>
      <c r="BK3" s="8">
        <f>BI3*(G5-$N$15)</f>
        <v>0</v>
      </c>
      <c r="BN3" s="111" t="s">
        <v>62</v>
      </c>
      <c r="BO3" s="112" t="s">
        <v>81</v>
      </c>
      <c r="BP3" s="113" t="s">
        <v>82</v>
      </c>
    </row>
    <row r="4" spans="1:68">
      <c r="A4" s="126"/>
      <c r="B4" s="152"/>
      <c r="C4" s="152"/>
      <c r="D4" s="154"/>
      <c r="E4" s="156"/>
      <c r="F4" s="158"/>
      <c r="G4" s="160"/>
      <c r="I4" s="31">
        <v>3.2</v>
      </c>
      <c r="J4" s="12">
        <v>1</v>
      </c>
      <c r="K4" s="24">
        <f>SQRT(('Olah Semivariogram'!$D$5-'Olah Semivariogram'!D5)^2+('Olah Semivariogram'!$E$5-'Olah Semivariogram'!E5)^2)</f>
        <v>0</v>
      </c>
      <c r="L4" s="24">
        <f>SQRT(('Olah Semivariogram'!$D$6-'Olah Semivariogram'!D5)^2+('Olah Semivariogram'!$E$6-'Olah Semivariogram'!E5)^2)</f>
        <v>0.45276925690687242</v>
      </c>
      <c r="M4" s="24">
        <f>SQRT(('Olah Semivariogram'!$D$7-'Olah Semivariogram'!D5)^2+('Olah Semivariogram'!$E$7-'Olah Semivariogram'!E5)^2)</f>
        <v>0.72801098892805338</v>
      </c>
      <c r="N4" s="24">
        <f>SQRT(('Olah Semivariogram'!$D$8-'Olah Semivariogram'!D5)^2+('Olah Semivariogram'!$E$8-'Olah Semivariogram'!E5)^2)</f>
        <v>0.65513357416636986</v>
      </c>
      <c r="O4" s="24">
        <f>SQRT(('Olah Semivariogram'!$D$9-'Olah Semivariogram'!D5)^2+('Olah Semivariogram'!$E$9-'Olah Semivariogram'!E5)^2)</f>
        <v>0.45276925690698211</v>
      </c>
      <c r="P4" s="24">
        <f>SQRT(('Olah Semivariogram'!$D$10-'Olah Semivariogram'!D5)^2+('Olah Semivariogram'!$E$10-'Olah Semivariogram'!E5)^2)</f>
        <v>0.65734313718263382</v>
      </c>
      <c r="Q4" s="24">
        <f>SQRT(('Olah Semivariogram'!$D$11-'Olah Semivariogram'!D5)^2+('Olah Semivariogram'!$E$11-'Olah Semivariogram'!E5)^2)</f>
        <v>0.13601470508735297</v>
      </c>
      <c r="R4" s="24">
        <f>SQRT(('Olah Semivariogram'!$D$12-'Olah Semivariogram'!D5)^2+('Olah Semivariogram'!$E$12-'Olah Semivariogram'!E5)^2)</f>
        <v>0.33837848631377154</v>
      </c>
      <c r="S4" s="24">
        <f>SQRT(('Olah Semivariogram'!$D$13-'Olah Semivariogram'!D5)^2+('Olah Semivariogram'!$E$13-'Olah Semivariogram'!E5)^2)</f>
        <v>9.9639349656469492E-2</v>
      </c>
      <c r="T4" s="24">
        <f>SQRT(('Olah Semivariogram'!$D$14-'Olah Semivariogram'!D5)^2+('Olah Semivariogram'!$E$14-'Olah Semivariogram'!E5)^2)</f>
        <v>8.0000000001007265E-2</v>
      </c>
      <c r="U4" s="98">
        <f t="shared" ref="U4:U13" si="1">SQRT((D5-$D$15)^2+(E5-$E$15)^2)</f>
        <v>0.18384776310849907</v>
      </c>
      <c r="V4" s="9" t="s">
        <v>27</v>
      </c>
      <c r="W4" s="71">
        <v>3.2</v>
      </c>
      <c r="X4" s="76">
        <v>3.2</v>
      </c>
      <c r="Y4" s="46">
        <v>0</v>
      </c>
      <c r="Z4" s="46">
        <f t="shared" ref="Z4:Z35" si="2">(W4-X4)^2</f>
        <v>0</v>
      </c>
      <c r="AA4" s="58">
        <f>Z4/20</f>
        <v>0</v>
      </c>
      <c r="AC4" s="8">
        <v>1</v>
      </c>
      <c r="AD4" s="8">
        <f>COUNT(W4:W13)</f>
        <v>10</v>
      </c>
      <c r="AE4" s="34">
        <f>SUM(Z4:Z13)</f>
        <v>0</v>
      </c>
      <c r="AF4" s="8">
        <v>0</v>
      </c>
      <c r="AG4" s="8">
        <v>0</v>
      </c>
      <c r="AH4" s="8">
        <v>0</v>
      </c>
      <c r="AI4" s="90">
        <v>0</v>
      </c>
      <c r="AK4" s="95">
        <v>0</v>
      </c>
      <c r="AL4" s="8">
        <v>0</v>
      </c>
      <c r="AM4" s="8">
        <v>0</v>
      </c>
      <c r="AN4" s="36">
        <v>0</v>
      </c>
      <c r="AO4" s="36">
        <v>0</v>
      </c>
      <c r="AP4" s="36">
        <v>0</v>
      </c>
      <c r="AR4" s="12">
        <v>1</v>
      </c>
      <c r="AS4" s="8">
        <f>IF(K4=0,0,IF(K4&lt;=$N$22,$AK$19*(1.5*($K$22/$AK$20)-0.5*($K$22/$AK$20)^3),IF(K4&lt;=$N$23,$AK$19*(1.5*($K$23/$AK$20)-0.5*($K$23/$AK$20)^3),IF(K4&lt;=$N$24,$AK$19*(1.5*($K$24/$AK$20)-0.5*($K$24/$AK$20)^3),IF(K4&lt;=$K$25,$AK$19*(1.5*($K$25/$AK$20)-0.5*($K$25/$AK$20)^3), $AK$19)))))</f>
        <v>0</v>
      </c>
      <c r="AT4" s="8">
        <f t="shared" ref="AT4:BB13" si="3">IF(L4=0,0,IF(L4&lt;=$N$22,$AK$19*(1.5*($K$22/$AK$20)-0.5*($K$22/$AK$20)^3),IF(L4&lt;=$N$23,$AK$19*(1.5*($K$23/$AK$20)-0.5*($K$23/$AK$20)^3),IF(L4&lt;=$N$24,$AK$19*(1.5*($K$24/$AK$20)-0.5*($K$24/$AK$20)^3),IF(L4&lt;=$K$25,$AK$19*(1.5*($K$25/$AK$20)-0.5*($K$25/$AK$20)^3), $AK$19)))))</f>
        <v>0.41912499999999991</v>
      </c>
      <c r="AU4" s="8">
        <f t="shared" si="3"/>
        <v>0.41912499999999991</v>
      </c>
      <c r="AV4" s="8">
        <f t="shared" si="3"/>
        <v>0.41912499999999991</v>
      </c>
      <c r="AW4" s="8">
        <f t="shared" si="3"/>
        <v>0.41912499999999991</v>
      </c>
      <c r="AX4" s="8">
        <f t="shared" si="3"/>
        <v>0.41912499999999991</v>
      </c>
      <c r="AY4" s="8">
        <f t="shared" si="3"/>
        <v>0.15389746093749998</v>
      </c>
      <c r="AZ4" s="8">
        <f t="shared" si="3"/>
        <v>0.38310644531249993</v>
      </c>
      <c r="BA4" s="8">
        <f t="shared" si="3"/>
        <v>0.15389746093749998</v>
      </c>
      <c r="BB4" s="8">
        <f t="shared" si="3"/>
        <v>0.15389746093749998</v>
      </c>
      <c r="BD4" s="12">
        <v>1</v>
      </c>
      <c r="BE4" s="8">
        <f>IF(U4=0,0,IF(U4&lt;=$N$22,$AK$19*(1.5*($K$22/$AK$20)-0.5*($K$22/$AK$20)^3),IF(U4&lt;=$N$23,$AK$19*(1.5*($K$23/$AK$20)-0.5*($K$23/$AK$20)^3),IF(U4&lt;=$N$24,$AK$19*(1.5*($K$24/$AK$20)-0.5*($K$24/$AK$20)^3),IF(U4&lt;=$K$25,$AK$19*(1.5*($K$25/$AK$20)-0.5*($K$25/$AK$20)^3), $AK$19)))))</f>
        <v>0.28814843749999997</v>
      </c>
      <c r="BH4" s="12">
        <v>2</v>
      </c>
      <c r="BI4" s="8">
        <v>-1.2200000000000001E-2</v>
      </c>
      <c r="BJ4" s="8">
        <f t="shared" si="0"/>
        <v>-3.2940000000000004E-2</v>
      </c>
      <c r="BK4" s="8">
        <f t="shared" ref="BK4:BK12" si="4">BI4*(G6-$N$15)</f>
        <v>6.1000000000000004E-3</v>
      </c>
      <c r="BN4" s="162">
        <f>$G$15</f>
        <v>2.9</v>
      </c>
      <c r="BO4" s="93">
        <f>BJ13</f>
        <v>3.8986200000000002</v>
      </c>
      <c r="BP4" s="53">
        <f>BK13</f>
        <v>3.6992600000000002</v>
      </c>
    </row>
    <row r="5" spans="1:68" ht="15" customHeight="1">
      <c r="A5" s="12">
        <v>1</v>
      </c>
      <c r="B5" s="13">
        <v>44201</v>
      </c>
      <c r="C5" s="14">
        <v>0.98804398148148198</v>
      </c>
      <c r="D5" s="15">
        <v>-7.47</v>
      </c>
      <c r="E5" s="15">
        <v>106.709999999999</v>
      </c>
      <c r="F5" s="16">
        <v>36</v>
      </c>
      <c r="G5" s="17">
        <v>3.2</v>
      </c>
      <c r="I5" s="31">
        <v>2.7</v>
      </c>
      <c r="J5" s="12">
        <v>2</v>
      </c>
      <c r="K5" s="24">
        <f>SQRT(('Olah Semivariogram'!$D$5-'Olah Semivariogram'!D6)^2+('Olah Semivariogram'!$E$5-'Olah Semivariogram'!E6)^2)</f>
        <v>0.45276925690687242</v>
      </c>
      <c r="L5" s="24">
        <f>SQRT(('Olah Semivariogram'!$D$6-'Olah Semivariogram'!D6)^2+('Olah Semivariogram'!$E$6-'Olah Semivariogram'!E6)^2)</f>
        <v>0</v>
      </c>
      <c r="M5" s="24">
        <f>SQRT(('Olah Semivariogram'!$D$7-'Olah Semivariogram'!D6)^2+('Olah Semivariogram'!$E$7-'Olah Semivariogram'!E6)^2)</f>
        <v>0.35355339059327301</v>
      </c>
      <c r="N5" s="24">
        <f>SQRT(('Olah Semivariogram'!$D$8-'Olah Semivariogram'!D6)^2+('Olah Semivariogram'!$E$8-'Olah Semivariogram'!E6)^2)</f>
        <v>0.71512236715124489</v>
      </c>
      <c r="O5" s="24">
        <f>SQRT(('Olah Semivariogram'!$D$9-'Olah Semivariogram'!D6)^2+('Olah Semivariogram'!$E$9-'Olah Semivariogram'!E6)^2)</f>
        <v>0.28635642126461563</v>
      </c>
      <c r="P5" s="24">
        <f>SQRT(('Olah Semivariogram'!$D$10-'Olah Semivariogram'!D6)^2+('Olah Semivariogram'!$E$10-'Olah Semivariogram'!E6)^2)</f>
        <v>0.7305477397134853</v>
      </c>
      <c r="Q5" s="24">
        <f>SQRT(('Olah Semivariogram'!$D$11-'Olah Semivariogram'!D6)^2+('Olah Semivariogram'!$E$11-'Olah Semivariogram'!E6)^2)</f>
        <v>0.44777226354476307</v>
      </c>
      <c r="R5" s="24">
        <f>SQRT(('Olah Semivariogram'!$D$12-'Olah Semivariogram'!D6)^2+('Olah Semivariogram'!$E$12-'Olah Semivariogram'!E6)^2)</f>
        <v>0.78873316146844008</v>
      </c>
      <c r="S5" s="24">
        <f>SQRT(('Olah Semivariogram'!$D$13-'Olah Semivariogram'!D6)^2+('Olah Semivariogram'!$E$13-'Olah Semivariogram'!E6)^2)</f>
        <v>0.40175614494286138</v>
      </c>
      <c r="T5" s="24">
        <f>SQRT(('Olah Semivariogram'!$D$14-'Olah Semivariogram'!D6)^2+('Olah Semivariogram'!$E$14-'Olah Semivariogram'!E6)^2)</f>
        <v>0.40224370722180075</v>
      </c>
      <c r="U5" s="98">
        <f t="shared" si="1"/>
        <v>0.48332183894378089</v>
      </c>
      <c r="W5" s="55">
        <v>2.7</v>
      </c>
      <c r="X5" s="43">
        <v>2.7</v>
      </c>
      <c r="Y5" s="30">
        <v>0</v>
      </c>
      <c r="Z5" s="30">
        <f t="shared" si="2"/>
        <v>0</v>
      </c>
      <c r="AA5" s="58">
        <f t="shared" ref="AA5:AA13" si="5">Z5/20</f>
        <v>0</v>
      </c>
      <c r="AC5" s="8">
        <v>2</v>
      </c>
      <c r="AD5" s="8">
        <f>COUNT(W14:W19)</f>
        <v>6</v>
      </c>
      <c r="AE5" s="35">
        <f>SUM(Z14:Z19)</f>
        <v>6.87</v>
      </c>
      <c r="AF5" s="8">
        <f>MEDIAN(AG5,AH5)</f>
        <v>0.11996398636548608</v>
      </c>
      <c r="AG5" s="8">
        <v>5.9981993182743033E-2</v>
      </c>
      <c r="AH5" s="8">
        <v>0.17994597954822911</v>
      </c>
      <c r="AI5" s="90">
        <f>AE5/(2*AD5)</f>
        <v>0.57250000000000001</v>
      </c>
      <c r="AK5" s="95">
        <f>$AI$19*(1.5*(AF5/$AI$20)-0.5*(AF5/$AI$20)^3)</f>
        <v>0.17473724489795917</v>
      </c>
      <c r="AL5" s="93">
        <f t="shared" ref="AL5:AL13" si="6">$AI$19*(1-EXP(-(AF5/$AI$20)))</f>
        <v>0.10416207953982079</v>
      </c>
      <c r="AM5" s="93">
        <f t="shared" ref="AM5:AM13" si="7">$AI$19*(1-EXP(-((AF5)^2/($AI$20)^2)))</f>
        <v>3.2855021276341094E-2</v>
      </c>
      <c r="AN5" s="8">
        <f>(AK5-AI5)^2</f>
        <v>0.15821520934636613</v>
      </c>
      <c r="AO5" s="8">
        <f>(AL5-AI5)^2</f>
        <v>0.21934040774096514</v>
      </c>
      <c r="AP5" s="8">
        <f>(AM5-AI5)^2</f>
        <v>0.29121670306165826</v>
      </c>
      <c r="AR5" s="12">
        <v>2</v>
      </c>
      <c r="AS5" s="8">
        <f t="shared" ref="AS5:AS13" si="8">IF(K5=0,0,IF(K5&lt;=$N$22,$AK$19*(1.5*($K$22/$AK$20)-0.5*($K$22/$AK$20)^3),IF(K5&lt;=$N$23,$AK$19*(1.5*($K$23/$AK$20)-0.5*($K$23/$AK$20)^3),IF(K5&lt;=$N$24,$AK$19*(1.5*($K$24/$AK$20)-0.5*($K$24/$AK$20)^3),IF(K5&lt;=$K$25,$AK$19*(1.5*($K$25/$AK$20)-0.5*($K$25/$AK$20)^3), $AK$19)))))</f>
        <v>0.41912499999999991</v>
      </c>
      <c r="AT5" s="8">
        <f t="shared" si="3"/>
        <v>0</v>
      </c>
      <c r="AU5" s="8">
        <f t="shared" si="3"/>
        <v>0.38310644531249993</v>
      </c>
      <c r="AV5" s="8">
        <f t="shared" si="3"/>
        <v>0.41912499999999991</v>
      </c>
      <c r="AW5" s="8">
        <f t="shared" si="3"/>
        <v>0.28814843749999997</v>
      </c>
      <c r="AX5" s="8">
        <f t="shared" si="3"/>
        <v>0.41912499999999991</v>
      </c>
      <c r="AY5" s="8">
        <f t="shared" si="3"/>
        <v>0.41912499999999991</v>
      </c>
      <c r="AZ5" s="8">
        <f t="shared" si="3"/>
        <v>0.41912499999999991</v>
      </c>
      <c r="BA5" s="8">
        <f t="shared" si="3"/>
        <v>0.38310644531249993</v>
      </c>
      <c r="BB5" s="8">
        <f t="shared" si="3"/>
        <v>0.38310644531249993</v>
      </c>
      <c r="BD5" s="12">
        <v>2</v>
      </c>
      <c r="BE5" s="8">
        <f t="shared" ref="BE5:BE13" si="9">IF(U5=0,0,IF(U5&lt;=$N$22,$AK$19*(1.5*($K$22/$AK$20)-0.5*($K$22/$AK$20)^3),IF(U5&lt;=$N$23,$AK$19*(1.5*($K$23/$AK$20)-0.5*($K$23/$AK$20)^3),IF(U5&lt;=$N$24,$AK$19*(1.5*($K$24/$AK$20)-0.5*($K$24/$AK$20)^3),IF(U5&lt;=$K$25,$AK$19*(1.5*($K$25/$AK$20)-0.5*($K$25/$AK$20)^3), $AK$19)))))</f>
        <v>0.41912499999999991</v>
      </c>
      <c r="BH5" s="12">
        <v>3</v>
      </c>
      <c r="BI5" s="8">
        <v>5.8500000000000003E-2</v>
      </c>
      <c r="BJ5" s="8">
        <f t="shared" si="0"/>
        <v>0.18720000000000003</v>
      </c>
      <c r="BK5" s="8">
        <f t="shared" si="4"/>
        <v>0</v>
      </c>
      <c r="BN5" s="162"/>
      <c r="BO5" s="95">
        <f>BJ34</f>
        <v>3.1920600000000006</v>
      </c>
      <c r="BP5" s="115">
        <f>BK34</f>
        <v>3.03782</v>
      </c>
    </row>
    <row r="6" spans="1:68">
      <c r="A6" s="12">
        <v>2</v>
      </c>
      <c r="B6" s="13">
        <v>44203</v>
      </c>
      <c r="C6" s="14">
        <v>0.30513888888888901</v>
      </c>
      <c r="D6" s="15">
        <v>-7.14</v>
      </c>
      <c r="E6" s="15">
        <v>107.019999999999</v>
      </c>
      <c r="F6" s="16">
        <v>81</v>
      </c>
      <c r="G6" s="17">
        <v>2.7</v>
      </c>
      <c r="I6" s="31">
        <v>3.2</v>
      </c>
      <c r="J6" s="12">
        <v>3</v>
      </c>
      <c r="K6" s="24">
        <f>SQRT(('Olah Semivariogram'!$D$5-'Olah Semivariogram'!D7)^2+('Olah Semivariogram'!$E$5-'Olah Semivariogram'!E7)^2)</f>
        <v>0.72801098892805338</v>
      </c>
      <c r="L6" s="24">
        <f>SQRT(('Olah Semivariogram'!$D$6-'Olah Semivariogram'!D7)^2+('Olah Semivariogram'!$E$6-'Olah Semivariogram'!E7)^2)</f>
        <v>0.35355339059327301</v>
      </c>
      <c r="M6" s="24">
        <f>SQRT(('Olah Semivariogram'!$D$7-'Olah Semivariogram'!D7)^2+('Olah Semivariogram'!$E$7-'Olah Semivariogram'!E7)^2)</f>
        <v>0</v>
      </c>
      <c r="N6" s="24">
        <f>SQRT(('Olah Semivariogram'!$D$8-'Olah Semivariogram'!D7)^2+('Olah Semivariogram'!$E$8-'Olah Semivariogram'!E7)^2)</f>
        <v>1.0632027088001599</v>
      </c>
      <c r="O6" s="24">
        <f>SQRT(('Olah Semivariogram'!$D$9-'Olah Semivariogram'!D7)^2+('Olah Semivariogram'!$E$9-'Olah Semivariogram'!E7)^2)</f>
        <v>0.31144823004727346</v>
      </c>
      <c r="P6" s="24">
        <f>SQRT(('Olah Semivariogram'!$D$10-'Olah Semivariogram'!D7)^2+('Olah Semivariogram'!$E$10-'Olah Semivariogram'!E7)^2)</f>
        <v>1.0796758772893746</v>
      </c>
      <c r="Q6" s="24">
        <f>SQRT(('Olah Semivariogram'!$D$11-'Olah Semivariogram'!D7)^2+('Olah Semivariogram'!$E$11-'Olah Semivariogram'!E7)^2)</f>
        <v>0.66370174024180661</v>
      </c>
      <c r="R6" s="24">
        <f>SQRT(('Olah Semivariogram'!$D$12-'Olah Semivariogram'!D7)^2+('Olah Semivariogram'!$E$12-'Olah Semivariogram'!E7)^2)</f>
        <v>1.0602358228243387</v>
      </c>
      <c r="S6" s="24">
        <f>SQRT(('Olah Semivariogram'!$D$13-'Olah Semivariogram'!D7)^2+('Olah Semivariogram'!$E$13-'Olah Semivariogram'!E7)^2)</f>
        <v>0.64498682157037124</v>
      </c>
      <c r="T6" s="24">
        <f>SQRT(('Olah Semivariogram'!$D$14-'Olah Semivariogram'!D7)^2+('Olah Semivariogram'!$E$14-'Olah Semivariogram'!E7)^2)</f>
        <v>0.70342021580250225</v>
      </c>
      <c r="U6" s="98">
        <f t="shared" si="1"/>
        <v>0.67424031324150313</v>
      </c>
      <c r="W6" s="72">
        <v>3.2</v>
      </c>
      <c r="X6" s="75">
        <v>3.2</v>
      </c>
      <c r="Y6" s="30">
        <v>0</v>
      </c>
      <c r="Z6" s="30">
        <f t="shared" si="2"/>
        <v>0</v>
      </c>
      <c r="AA6" s="58">
        <f t="shared" si="5"/>
        <v>0</v>
      </c>
      <c r="AC6" s="8">
        <v>3</v>
      </c>
      <c r="AD6" s="8">
        <f>COUNTA(W20:W21)</f>
        <v>2</v>
      </c>
      <c r="AE6" s="35">
        <f>SUM(Z20:Z21)</f>
        <v>0.34000000000000019</v>
      </c>
      <c r="AF6" s="8">
        <f t="shared" ref="AF6:AF13" si="10">MEDIAN(AG6,AH6)</f>
        <v>0.23992797273097213</v>
      </c>
      <c r="AG6" s="8">
        <v>0.17994597954822911</v>
      </c>
      <c r="AH6" s="8">
        <v>0.29990996591371516</v>
      </c>
      <c r="AI6" s="90">
        <f t="shared" ref="AI6:AI11" si="11">AE6/(2*AD6)</f>
        <v>8.5000000000000048E-2</v>
      </c>
      <c r="AK6" s="95">
        <f t="shared" ref="AK6:AK7" si="12">$AI$19*(1.5*(AF6/$AI$20)-0.5*(AF6/$AI$20)^3)</f>
        <v>0.32014795918367339</v>
      </c>
      <c r="AL6" s="93">
        <f t="shared" si="6"/>
        <v>0.1824375171134979</v>
      </c>
      <c r="AM6" s="93">
        <f t="shared" si="7"/>
        <v>0.11675888255506281</v>
      </c>
      <c r="AN6" s="8">
        <f>(AK6-AI6)^2</f>
        <v>5.5294562708246502E-2</v>
      </c>
      <c r="AO6" s="8">
        <f t="shared" ref="AO6:AO12" si="13">(AL6-AI6)^2</f>
        <v>9.4940697412431874E-3</v>
      </c>
      <c r="AP6" s="8">
        <f t="shared" ref="AP6:AP13" si="14">(AM6-AI6)^2</f>
        <v>1.0086266211462697E-3</v>
      </c>
      <c r="AR6" s="12">
        <v>3</v>
      </c>
      <c r="AS6" s="8">
        <f t="shared" si="8"/>
        <v>0.41912499999999991</v>
      </c>
      <c r="AT6" s="8">
        <f t="shared" si="3"/>
        <v>0.38310644531249993</v>
      </c>
      <c r="AU6" s="8">
        <f t="shared" si="3"/>
        <v>0</v>
      </c>
      <c r="AV6" s="8">
        <f t="shared" si="3"/>
        <v>0.41912499999999991</v>
      </c>
      <c r="AW6" s="8">
        <f t="shared" si="3"/>
        <v>0.38310644531249993</v>
      </c>
      <c r="AX6" s="8">
        <f t="shared" si="3"/>
        <v>0.41912499999999991</v>
      </c>
      <c r="AY6" s="8">
        <f t="shared" si="3"/>
        <v>0.41912499999999991</v>
      </c>
      <c r="AZ6" s="8">
        <f t="shared" si="3"/>
        <v>0.41912499999999991</v>
      </c>
      <c r="BA6" s="8">
        <f t="shared" si="3"/>
        <v>0.41912499999999991</v>
      </c>
      <c r="BB6" s="8">
        <f t="shared" si="3"/>
        <v>0.41912499999999991</v>
      </c>
      <c r="BD6" s="12">
        <v>3</v>
      </c>
      <c r="BE6" s="8">
        <f t="shared" si="9"/>
        <v>0.41912499999999991</v>
      </c>
      <c r="BH6" s="12">
        <v>4</v>
      </c>
      <c r="BI6" s="8">
        <v>3.8100000000000002E-2</v>
      </c>
      <c r="BJ6" s="8">
        <f t="shared" si="0"/>
        <v>0.12192000000000001</v>
      </c>
      <c r="BK6" s="8">
        <f t="shared" si="4"/>
        <v>0</v>
      </c>
      <c r="BN6" s="162"/>
      <c r="BO6" s="8">
        <f>BJ51</f>
        <v>2.50176</v>
      </c>
      <c r="BP6" s="53">
        <f>BK51</f>
        <v>2.8271999999999995</v>
      </c>
    </row>
    <row r="7" spans="1:68">
      <c r="A7" s="12">
        <v>3</v>
      </c>
      <c r="B7" s="13">
        <v>44207</v>
      </c>
      <c r="C7" s="14">
        <v>0.524363425925926</v>
      </c>
      <c r="D7" s="15">
        <v>-6.79</v>
      </c>
      <c r="E7" s="15">
        <v>106.969999999999</v>
      </c>
      <c r="F7" s="16">
        <v>10</v>
      </c>
      <c r="G7" s="17">
        <v>3.2</v>
      </c>
      <c r="I7" s="31">
        <v>3.2</v>
      </c>
      <c r="J7" s="12">
        <v>4</v>
      </c>
      <c r="K7" s="24">
        <f>SQRT(('Olah Semivariogram'!$D$5-'Olah Semivariogram'!D8)^2+('Olah Semivariogram'!$E$5-'Olah Semivariogram'!E8)^2)</f>
        <v>0.65513357416636986</v>
      </c>
      <c r="L7" s="24">
        <f>SQRT(('Olah Semivariogram'!$D$6-'Olah Semivariogram'!D8)^2+('Olah Semivariogram'!$E$6-'Olah Semivariogram'!E8)^2)</f>
        <v>0.71512236715124489</v>
      </c>
      <c r="M7" s="24">
        <f>SQRT(('Olah Semivariogram'!$D$7-'Olah Semivariogram'!D8)^2+('Olah Semivariogram'!$E$7-'Olah Semivariogram'!E8)^2)</f>
        <v>1.0632027088001599</v>
      </c>
      <c r="N7" s="24">
        <f>SQRT(('Olah Semivariogram'!$D$8-'Olah Semivariogram'!D8)^2+('Olah Semivariogram'!$E$8-'Olah Semivariogram'!E8)^2)</f>
        <v>0</v>
      </c>
      <c r="O7" s="24">
        <f>SQRT(('Olah Semivariogram'!$D$9-'Olah Semivariogram'!D8)^2+('Olah Semivariogram'!$E$9-'Olah Semivariogram'!E8)^2)</f>
        <v>0.94031909477526632</v>
      </c>
      <c r="P7" s="24">
        <f>SQRT(('Olah Semivariogram'!$D$10-'Olah Semivariogram'!D8)^2+('Olah Semivariogram'!$E$10-'Olah Semivariogram'!E8)^2)</f>
        <v>2.2360679774549374E-2</v>
      </c>
      <c r="Q7" s="24">
        <f>SQRT(('Olah Semivariogram'!$D$11-'Olah Semivariogram'!D8)^2+('Olah Semivariogram'!$E$11-'Olah Semivariogram'!E8)^2)</f>
        <v>0.78236819976274607</v>
      </c>
      <c r="R7" s="24">
        <f>SQRT(('Olah Semivariogram'!$D$12-'Olah Semivariogram'!D8)^2+('Olah Semivariogram'!$E$12-'Olah Semivariogram'!E8)^2)</f>
        <v>0.75239617223906707</v>
      </c>
      <c r="S7" s="24">
        <f>SQRT(('Olah Semivariogram'!$D$13-'Olah Semivariogram'!D8)^2+('Olah Semivariogram'!$E$13-'Olah Semivariogram'!E8)^2)</f>
        <v>0.72520893541023967</v>
      </c>
      <c r="T7" s="24">
        <f>SQRT(('Olah Semivariogram'!$D$14-'Olah Semivariogram'!D8)^2+('Olah Semivariogram'!$E$14-'Olah Semivariogram'!E8)^2)</f>
        <v>0.58821764679328947</v>
      </c>
      <c r="U7" s="98">
        <f t="shared" si="1"/>
        <v>0.83486525858967009</v>
      </c>
      <c r="W7" s="73">
        <v>3.2</v>
      </c>
      <c r="X7" s="74">
        <v>3.2</v>
      </c>
      <c r="Y7" s="30">
        <v>0</v>
      </c>
      <c r="Z7" s="30">
        <f t="shared" si="2"/>
        <v>0</v>
      </c>
      <c r="AA7" s="58">
        <f t="shared" si="5"/>
        <v>0</v>
      </c>
      <c r="AC7" s="8">
        <v>4</v>
      </c>
      <c r="AD7" s="8">
        <f>COUNT(W22:W31)</f>
        <v>10</v>
      </c>
      <c r="AE7" s="35">
        <f>SUM(Z22:Z31)</f>
        <v>12.339999999999998</v>
      </c>
      <c r="AF7" s="8">
        <f t="shared" si="10"/>
        <v>0.35989195909645821</v>
      </c>
      <c r="AG7" s="8">
        <v>0.29990996591371516</v>
      </c>
      <c r="AH7" s="8">
        <v>0.41987395227920127</v>
      </c>
      <c r="AI7" s="90">
        <f>AE7/(2*AD7)</f>
        <v>0.61699999999999988</v>
      </c>
      <c r="AK7" s="95">
        <f t="shared" si="12"/>
        <v>0.40690561224489791</v>
      </c>
      <c r="AL7" s="93">
        <f t="shared" si="6"/>
        <v>0.2412597310556483</v>
      </c>
      <c r="AM7" s="93">
        <f t="shared" si="7"/>
        <v>0.21809074282660768</v>
      </c>
      <c r="AN7" s="8">
        <f>(AK7-AI7)^2</f>
        <v>4.413965176619114E-2</v>
      </c>
      <c r="AO7" s="8">
        <f t="shared" si="13"/>
        <v>0.14118074970637365</v>
      </c>
      <c r="AP7" s="8">
        <f t="shared" si="14"/>
        <v>0.15912859545862756</v>
      </c>
      <c r="AR7" s="12">
        <v>4</v>
      </c>
      <c r="AS7" s="8">
        <f t="shared" si="8"/>
        <v>0.41912499999999991</v>
      </c>
      <c r="AT7" s="8">
        <f t="shared" si="3"/>
        <v>0.41912499999999991</v>
      </c>
      <c r="AU7" s="8">
        <f t="shared" si="3"/>
        <v>0.41912499999999991</v>
      </c>
      <c r="AV7" s="8">
        <f t="shared" si="3"/>
        <v>0</v>
      </c>
      <c r="AW7" s="8">
        <f t="shared" si="3"/>
        <v>0.41912499999999991</v>
      </c>
      <c r="AX7" s="8">
        <f t="shared" si="3"/>
        <v>0.15389746093749998</v>
      </c>
      <c r="AY7" s="8">
        <f t="shared" si="3"/>
        <v>0.41912499999999991</v>
      </c>
      <c r="AZ7" s="8">
        <f t="shared" si="3"/>
        <v>0.41912499999999991</v>
      </c>
      <c r="BA7" s="8">
        <f t="shared" si="3"/>
        <v>0.41912499999999991</v>
      </c>
      <c r="BB7" s="8">
        <f t="shared" si="3"/>
        <v>0.41912499999999991</v>
      </c>
      <c r="BD7" s="12">
        <v>4</v>
      </c>
      <c r="BE7" s="8">
        <f t="shared" si="9"/>
        <v>0.41912499999999991</v>
      </c>
      <c r="BH7" s="12">
        <v>5</v>
      </c>
      <c r="BI7" s="8">
        <v>5.5599999999999997E-2</v>
      </c>
      <c r="BJ7" s="8">
        <f t="shared" si="0"/>
        <v>0.12232</v>
      </c>
      <c r="BK7" s="8">
        <f t="shared" si="4"/>
        <v>-5.5599999999999997E-2</v>
      </c>
    </row>
    <row r="8" spans="1:68">
      <c r="A8" s="12">
        <v>4</v>
      </c>
      <c r="B8" s="13">
        <v>44215</v>
      </c>
      <c r="C8" s="14">
        <v>0.66035879629629601</v>
      </c>
      <c r="D8" s="15">
        <v>-7.81</v>
      </c>
      <c r="E8" s="15">
        <v>107.269999999999</v>
      </c>
      <c r="F8" s="16">
        <v>30</v>
      </c>
      <c r="G8" s="17">
        <v>3.2</v>
      </c>
      <c r="I8" s="31">
        <v>2.2000000000000002</v>
      </c>
      <c r="J8" s="12">
        <v>5</v>
      </c>
      <c r="K8" s="24">
        <f>SQRT(('Olah Semivariogram'!$D$5-'Olah Semivariogram'!D9)^2+('Olah Semivariogram'!$E$5-'Olah Semivariogram'!E9)^2)</f>
        <v>0.45276925690698211</v>
      </c>
      <c r="L8" s="24">
        <f>SQRT(('Olah Semivariogram'!$D$6-'Olah Semivariogram'!D9)^2+('Olah Semivariogram'!$E$6-'Olah Semivariogram'!E9)^2)</f>
        <v>0.28635642126461563</v>
      </c>
      <c r="M8" s="24">
        <f>SQRT(('Olah Semivariogram'!$D$7-'Olah Semivariogram'!D9)^2+('Olah Semivariogram'!$E$7-'Olah Semivariogram'!E9)^2)</f>
        <v>0.31144823004727346</v>
      </c>
      <c r="N8" s="24">
        <f>SQRT(('Olah Semivariogram'!$D$8-'Olah Semivariogram'!D9)^2+('Olah Semivariogram'!$E$8-'Olah Semivariogram'!E9)^2)</f>
        <v>0.94031909477526632</v>
      </c>
      <c r="O8" s="24">
        <f>SQRT(('Olah Semivariogram'!$D$9-'Olah Semivariogram'!D9)^2+('Olah Semivariogram'!$E$9-'Olah Semivariogram'!E9)^2)</f>
        <v>0</v>
      </c>
      <c r="P8" s="24">
        <f>SQRT(('Olah Semivariogram'!$D$10-'Olah Semivariogram'!D9)^2+('Olah Semivariogram'!$E$10-'Olah Semivariogram'!E9)^2)</f>
        <v>0.9518928511129815</v>
      </c>
      <c r="Q8" s="24">
        <f>SQRT(('Olah Semivariogram'!$D$11-'Olah Semivariogram'!D9)^2+('Olah Semivariogram'!$E$11-'Olah Semivariogram'!E9)^2)</f>
        <v>0.36400549446438535</v>
      </c>
      <c r="R8" s="24">
        <f>SQRT(('Olah Semivariogram'!$D$12-'Olah Semivariogram'!D9)^2+('Olah Semivariogram'!$E$12-'Olah Semivariogram'!E9)^2)</f>
        <v>0.76843997813783893</v>
      </c>
      <c r="S8" s="24">
        <f>SQRT(('Olah Semivariogram'!$D$13-'Olah Semivariogram'!D9)^2+('Olah Semivariogram'!$E$13-'Olah Semivariogram'!E9)^2)</f>
        <v>0.35850801943610949</v>
      </c>
      <c r="T8" s="24">
        <f>SQRT(('Olah Semivariogram'!$D$14-'Olah Semivariogram'!D9)^2+('Olah Semivariogram'!$E$14-'Olah Semivariogram'!E9)^2)</f>
        <v>0.45099889135118748</v>
      </c>
      <c r="U8" s="98">
        <f t="shared" si="1"/>
        <v>0.36715119501420768</v>
      </c>
      <c r="W8" s="55">
        <v>2.2000000000000002</v>
      </c>
      <c r="X8" s="43">
        <v>2.2000000000000002</v>
      </c>
      <c r="Y8" s="30">
        <v>0</v>
      </c>
      <c r="Z8" s="30">
        <f t="shared" si="2"/>
        <v>0</v>
      </c>
      <c r="AA8" s="58">
        <f t="shared" si="5"/>
        <v>0</v>
      </c>
      <c r="AC8" s="8">
        <v>5</v>
      </c>
      <c r="AD8" s="8">
        <f>COUNT(W32:W35)</f>
        <v>4</v>
      </c>
      <c r="AE8" s="35">
        <f>SUM(Z32:Z35)</f>
        <v>1.7699999999999996</v>
      </c>
      <c r="AF8" s="8">
        <f t="shared" si="10"/>
        <v>0.47985594546194427</v>
      </c>
      <c r="AG8" s="8">
        <v>0.41987395227920121</v>
      </c>
      <c r="AH8" s="8">
        <v>0.53983793864468732</v>
      </c>
      <c r="AI8" s="90">
        <f t="shared" si="11"/>
        <v>0.22124999999999995</v>
      </c>
      <c r="AK8" s="95">
        <f t="shared" ref="AK8:AK13" si="15">$AI$19</f>
        <v>0.41912499999999991</v>
      </c>
      <c r="AL8" s="93">
        <f t="shared" si="6"/>
        <v>0.28546328916159081</v>
      </c>
      <c r="AM8" s="93">
        <f t="shared" si="7"/>
        <v>0.30559731182981698</v>
      </c>
      <c r="AN8" s="8">
        <f t="shared" ref="AN8:AN13" si="16">(AK8-AI8)^2</f>
        <v>3.915451562499999E-2</v>
      </c>
      <c r="AO8" s="8">
        <f t="shared" si="13"/>
        <v>4.1233465049500817E-3</v>
      </c>
      <c r="AP8" s="8">
        <f t="shared" si="14"/>
        <v>7.1144690129163919E-3</v>
      </c>
      <c r="AR8" s="12">
        <v>5</v>
      </c>
      <c r="AS8" s="8">
        <f t="shared" si="8"/>
        <v>0.41912499999999991</v>
      </c>
      <c r="AT8" s="8">
        <f t="shared" si="3"/>
        <v>0.28814843749999997</v>
      </c>
      <c r="AU8" s="8">
        <f t="shared" si="3"/>
        <v>0.38310644531249993</v>
      </c>
      <c r="AV8" s="8">
        <f t="shared" si="3"/>
        <v>0.41912499999999991</v>
      </c>
      <c r="AW8" s="8">
        <f t="shared" si="3"/>
        <v>0</v>
      </c>
      <c r="AX8" s="8">
        <f t="shared" si="3"/>
        <v>0.41912499999999991</v>
      </c>
      <c r="AY8" s="8">
        <f t="shared" si="3"/>
        <v>0.38310644531249993</v>
      </c>
      <c r="AZ8" s="8">
        <f t="shared" si="3"/>
        <v>0.41912499999999991</v>
      </c>
      <c r="BA8" s="8">
        <f t="shared" si="3"/>
        <v>0.38310644531249993</v>
      </c>
      <c r="BB8" s="8">
        <f t="shared" si="3"/>
        <v>0.41912499999999991</v>
      </c>
      <c r="BD8" s="12">
        <v>5</v>
      </c>
      <c r="BE8" s="8">
        <f t="shared" si="9"/>
        <v>0.38310644531249993</v>
      </c>
      <c r="BH8" s="12">
        <v>6</v>
      </c>
      <c r="BI8" s="8">
        <v>3.8100000000000002E-2</v>
      </c>
      <c r="BJ8" s="8">
        <f t="shared" si="0"/>
        <v>0.13716</v>
      </c>
      <c r="BK8" s="8">
        <f t="shared" si="4"/>
        <v>1.5239999999999997E-2</v>
      </c>
    </row>
    <row r="9" spans="1:68">
      <c r="A9" s="12">
        <v>5</v>
      </c>
      <c r="B9" s="13">
        <v>44215</v>
      </c>
      <c r="C9" s="14">
        <v>0.67125000000000001</v>
      </c>
      <c r="D9" s="15">
        <v>-7.02</v>
      </c>
      <c r="E9" s="15">
        <v>106.76</v>
      </c>
      <c r="F9" s="16">
        <v>10</v>
      </c>
      <c r="G9" s="17">
        <v>2.2000000000000002</v>
      </c>
      <c r="I9" s="31">
        <v>3.6</v>
      </c>
      <c r="J9" s="12">
        <v>6</v>
      </c>
      <c r="K9" s="24">
        <f>SQRT(('Olah Semivariogram'!$D$5-'Olah Semivariogram'!D10)^2+('Olah Semivariogram'!$E$5-'Olah Semivariogram'!E10)^2)</f>
        <v>0.65734313718263382</v>
      </c>
      <c r="L9" s="24">
        <f>SQRT(('Olah Semivariogram'!$D$6-'Olah Semivariogram'!D10)^2+('Olah Semivariogram'!$E$6-'Olah Semivariogram'!E10)^2)</f>
        <v>0.7305477397134853</v>
      </c>
      <c r="M9" s="24">
        <f>SQRT(('Olah Semivariogram'!$D$7-'Olah Semivariogram'!D10)^2+('Olah Semivariogram'!$E$7-'Olah Semivariogram'!E10)^2)</f>
        <v>1.0796758772893746</v>
      </c>
      <c r="N9" s="24">
        <f>SQRT(('Olah Semivariogram'!$D$8-'Olah Semivariogram'!D10)^2+('Olah Semivariogram'!$E$8-'Olah Semivariogram'!E10)^2)</f>
        <v>2.2360679774549374E-2</v>
      </c>
      <c r="O9" s="24">
        <f>SQRT(('Olah Semivariogram'!$D$9-'Olah Semivariogram'!D10)^2+('Olah Semivariogram'!$E$9-'Olah Semivariogram'!E10)^2)</f>
        <v>0.9518928511129815</v>
      </c>
      <c r="P9" s="24">
        <f>SQRT(('Olah Semivariogram'!$D$10-'Olah Semivariogram'!D10)^2+('Olah Semivariogram'!$E$10-'Olah Semivariogram'!E10)^2)</f>
        <v>0</v>
      </c>
      <c r="Q9" s="24">
        <f>SQRT(('Olah Semivariogram'!$D$11-'Olah Semivariogram'!D10)^2+('Olah Semivariogram'!$E$11-'Olah Semivariogram'!E10)^2)</f>
        <v>0.78600254452594831</v>
      </c>
      <c r="R9" s="24">
        <f>SQRT(('Olah Semivariogram'!$D$12-'Olah Semivariogram'!D10)^2+('Olah Semivariogram'!$E$12-'Olah Semivariogram'!E10)^2)</f>
        <v>0.74431176263813381</v>
      </c>
      <c r="S9" s="24">
        <f>SQRT(('Olah Semivariogram'!$D$13-'Olah Semivariogram'!D10)^2+('Olah Semivariogram'!$E$13-'Olah Semivariogram'!E10)^2)</f>
        <v>0.72964923079519095</v>
      </c>
      <c r="T9" s="24">
        <f>SQRT(('Olah Semivariogram'!$D$14-'Olah Semivariogram'!D10)^2+('Olah Semivariogram'!$E$14-'Olah Semivariogram'!E10)^2)</f>
        <v>0.59203040462462664</v>
      </c>
      <c r="U9" s="98">
        <f t="shared" si="1"/>
        <v>0.83815273071282326</v>
      </c>
      <c r="W9" s="55">
        <v>3.6</v>
      </c>
      <c r="X9" s="43">
        <v>3.6</v>
      </c>
      <c r="Y9" s="30">
        <v>0</v>
      </c>
      <c r="Z9" s="30">
        <f t="shared" si="2"/>
        <v>0</v>
      </c>
      <c r="AA9" s="58">
        <f t="shared" si="5"/>
        <v>0</v>
      </c>
      <c r="AC9" s="8">
        <v>6</v>
      </c>
      <c r="AD9" s="8">
        <f>COUNT(W36:W40)</f>
        <v>5</v>
      </c>
      <c r="AE9" s="35">
        <f>SUM(Z36:Z40)</f>
        <v>2.6500000000000004</v>
      </c>
      <c r="AF9" s="8">
        <f t="shared" si="10"/>
        <v>0.59981993182743032</v>
      </c>
      <c r="AG9" s="8">
        <v>0.53983793864468732</v>
      </c>
      <c r="AH9" s="8">
        <v>0.65980192501017332</v>
      </c>
      <c r="AI9" s="90">
        <f t="shared" si="11"/>
        <v>0.26500000000000001</v>
      </c>
      <c r="AK9" s="95">
        <f t="shared" si="15"/>
        <v>0.41912499999999991</v>
      </c>
      <c r="AL9" s="93">
        <f t="shared" si="6"/>
        <v>0.31868125935134067</v>
      </c>
      <c r="AM9" s="93">
        <f t="shared" si="7"/>
        <v>0.36467118679414184</v>
      </c>
      <c r="AN9" s="8">
        <f t="shared" si="16"/>
        <v>2.3754515624999969E-2</v>
      </c>
      <c r="AO9" s="8">
        <f t="shared" si="13"/>
        <v>2.881677605545899E-3</v>
      </c>
      <c r="AP9" s="8">
        <f t="shared" si="14"/>
        <v>9.9343454769527124E-3</v>
      </c>
      <c r="AR9" s="12">
        <v>6</v>
      </c>
      <c r="AS9" s="8">
        <f t="shared" si="8"/>
        <v>0.41912499999999991</v>
      </c>
      <c r="AT9" s="8">
        <f t="shared" si="3"/>
        <v>0.41912499999999991</v>
      </c>
      <c r="AU9" s="8">
        <f t="shared" si="3"/>
        <v>0.41912499999999991</v>
      </c>
      <c r="AV9" s="8">
        <f t="shared" si="3"/>
        <v>0.15389746093749998</v>
      </c>
      <c r="AW9" s="8">
        <f t="shared" si="3"/>
        <v>0.41912499999999991</v>
      </c>
      <c r="AX9" s="8">
        <f t="shared" si="3"/>
        <v>0</v>
      </c>
      <c r="AY9" s="8">
        <f t="shared" si="3"/>
        <v>0.41912499999999991</v>
      </c>
      <c r="AZ9" s="8">
        <f t="shared" si="3"/>
        <v>0.41912499999999991</v>
      </c>
      <c r="BA9" s="8">
        <f t="shared" si="3"/>
        <v>0.41912499999999991</v>
      </c>
      <c r="BB9" s="8">
        <f t="shared" si="3"/>
        <v>0.41912499999999991</v>
      </c>
      <c r="BD9" s="12">
        <v>6</v>
      </c>
      <c r="BE9" s="8">
        <f t="shared" si="9"/>
        <v>0.41912499999999991</v>
      </c>
      <c r="BH9" s="12">
        <v>7</v>
      </c>
      <c r="BI9" s="8">
        <v>0.5857</v>
      </c>
      <c r="BJ9" s="8">
        <f t="shared" si="0"/>
        <v>1.8156700000000001</v>
      </c>
      <c r="BK9" s="8">
        <f t="shared" si="4"/>
        <v>-5.8570000000000053E-2</v>
      </c>
    </row>
    <row r="10" spans="1:68">
      <c r="A10" s="12">
        <v>6</v>
      </c>
      <c r="B10" s="13">
        <v>44216</v>
      </c>
      <c r="C10" s="14">
        <v>0.88252314814814803</v>
      </c>
      <c r="D10" s="15">
        <v>-7.83</v>
      </c>
      <c r="E10" s="15">
        <v>107.26</v>
      </c>
      <c r="F10" s="16">
        <v>27</v>
      </c>
      <c r="G10" s="17">
        <v>3.6</v>
      </c>
      <c r="I10" s="31">
        <v>3.1</v>
      </c>
      <c r="J10" s="12">
        <v>7</v>
      </c>
      <c r="K10" s="24">
        <f>SQRT(('Olah Semivariogram'!$D$5-'Olah Semivariogram'!D11)^2+('Olah Semivariogram'!$E$5-'Olah Semivariogram'!E11)^2)</f>
        <v>0.13601470508735297</v>
      </c>
      <c r="L10" s="24">
        <f>SQRT(('Olah Semivariogram'!$D$6-'Olah Semivariogram'!D11)^2+('Olah Semivariogram'!$E$6-'Olah Semivariogram'!E11)^2)</f>
        <v>0.44777226354476307</v>
      </c>
      <c r="M10" s="24">
        <f>SQRT(('Olah Semivariogram'!$D$7-'Olah Semivariogram'!D11)^2+('Olah Semivariogram'!$E$7-'Olah Semivariogram'!E11)^2)</f>
        <v>0.66370174024180661</v>
      </c>
      <c r="N10" s="24">
        <f>SQRT(('Olah Semivariogram'!$D$8-'Olah Semivariogram'!D11)^2+('Olah Semivariogram'!$E$8-'Olah Semivariogram'!E11)^2)</f>
        <v>0.78236819976274607</v>
      </c>
      <c r="O10" s="24">
        <f>SQRT(('Olah Semivariogram'!$D$9-'Olah Semivariogram'!D11)^2+('Olah Semivariogram'!$E$9-'Olah Semivariogram'!E11)^2)</f>
        <v>0.36400549446438535</v>
      </c>
      <c r="P10" s="24">
        <f>SQRT(('Olah Semivariogram'!$D$10-'Olah Semivariogram'!D11)^2+('Olah Semivariogram'!$E$10-'Olah Semivariogram'!E11)^2)</f>
        <v>0.78600254452594831</v>
      </c>
      <c r="Q10" s="24">
        <f>SQRT(('Olah Semivariogram'!$D$11-'Olah Semivariogram'!D11)^2+('Olah Semivariogram'!$E$11-'Olah Semivariogram'!E11)^2)</f>
        <v>0</v>
      </c>
      <c r="R10" s="24">
        <f>SQRT(('Olah Semivariogram'!$D$12-'Olah Semivariogram'!D11)^2+('Olah Semivariogram'!$E$12-'Olah Semivariogram'!E11)^2)</f>
        <v>0.40521599178709572</v>
      </c>
      <c r="S10" s="24">
        <f>SQRT(('Olah Semivariogram'!$D$13-'Olah Semivariogram'!D11)^2+('Olah Semivariogram'!$E$13-'Olah Semivariogram'!E11)^2)</f>
        <v>6.3150613616361984E-2</v>
      </c>
      <c r="T10" s="24">
        <f>SQRT(('Olah Semivariogram'!$D$14-'Olah Semivariogram'!D11)^2+('Olah Semivariogram'!$E$14-'Olah Semivariogram'!E11)^2)</f>
        <v>0.1941648783903043</v>
      </c>
      <c r="U10" s="98">
        <f t="shared" si="1"/>
        <v>5.3851648071342573E-2</v>
      </c>
      <c r="W10" s="55">
        <v>3.1</v>
      </c>
      <c r="X10" s="43">
        <v>3.1</v>
      </c>
      <c r="Y10" s="30">
        <v>0</v>
      </c>
      <c r="Z10" s="30">
        <f t="shared" si="2"/>
        <v>0</v>
      </c>
      <c r="AA10" s="58">
        <f t="shared" si="5"/>
        <v>0</v>
      </c>
      <c r="AC10" s="8">
        <v>7</v>
      </c>
      <c r="AD10" s="8">
        <f>COUNT(W41:W50)</f>
        <v>10</v>
      </c>
      <c r="AE10" s="35">
        <f>SUM(Z41:Z50)</f>
        <v>5.52</v>
      </c>
      <c r="AF10" s="8">
        <f t="shared" si="10"/>
        <v>0.71978391819291643</v>
      </c>
      <c r="AG10" s="8">
        <v>0.65980192501017343</v>
      </c>
      <c r="AH10" s="8">
        <v>0.77976591137565943</v>
      </c>
      <c r="AI10" s="90">
        <f t="shared" si="11"/>
        <v>0.27599999999999997</v>
      </c>
      <c r="AK10" s="95">
        <f t="shared" si="15"/>
        <v>0.41912499999999991</v>
      </c>
      <c r="AL10" s="93">
        <f t="shared" si="6"/>
        <v>0.3436438096709894</v>
      </c>
      <c r="AM10" s="93">
        <f t="shared" si="7"/>
        <v>0.3969405033774534</v>
      </c>
      <c r="AN10" s="8">
        <f t="shared" si="16"/>
        <v>2.0484765624999984E-2</v>
      </c>
      <c r="AO10" s="8">
        <f t="shared" si="13"/>
        <v>4.5756849868050431E-3</v>
      </c>
      <c r="AP10" s="8">
        <f t="shared" si="14"/>
        <v>1.4626605357191826E-2</v>
      </c>
      <c r="AR10" s="12">
        <v>7</v>
      </c>
      <c r="AS10" s="8">
        <f t="shared" si="8"/>
        <v>0.15389746093749998</v>
      </c>
      <c r="AT10" s="8">
        <f t="shared" si="3"/>
        <v>0.41912499999999991</v>
      </c>
      <c r="AU10" s="8">
        <f t="shared" si="3"/>
        <v>0.41912499999999991</v>
      </c>
      <c r="AV10" s="8">
        <f t="shared" si="3"/>
        <v>0.41912499999999991</v>
      </c>
      <c r="AW10" s="8">
        <f t="shared" si="3"/>
        <v>0.38310644531249993</v>
      </c>
      <c r="AX10" s="8">
        <f t="shared" si="3"/>
        <v>0.41912499999999991</v>
      </c>
      <c r="AY10" s="8">
        <f t="shared" si="3"/>
        <v>0</v>
      </c>
      <c r="AZ10" s="8">
        <f t="shared" si="3"/>
        <v>0.38310644531249993</v>
      </c>
      <c r="BA10" s="8">
        <f t="shared" si="3"/>
        <v>0.15389746093749998</v>
      </c>
      <c r="BB10" s="8">
        <f t="shared" si="3"/>
        <v>0.28814843749999997</v>
      </c>
      <c r="BD10" s="12">
        <v>7</v>
      </c>
      <c r="BE10" s="8">
        <f t="shared" si="9"/>
        <v>0.15389746093749998</v>
      </c>
      <c r="BH10" s="12">
        <v>8</v>
      </c>
      <c r="BI10" s="8">
        <v>7.9000000000000001E-2</v>
      </c>
      <c r="BJ10" s="8">
        <f t="shared" si="0"/>
        <v>0.27650000000000002</v>
      </c>
      <c r="BK10" s="8">
        <f t="shared" si="4"/>
        <v>2.3699999999999985E-2</v>
      </c>
    </row>
    <row r="11" spans="1:68">
      <c r="A11" s="12">
        <v>7</v>
      </c>
      <c r="B11" s="13">
        <v>44221</v>
      </c>
      <c r="C11" s="14">
        <v>0.65237268518518499</v>
      </c>
      <c r="D11" s="15">
        <v>-7.36</v>
      </c>
      <c r="E11" s="15">
        <v>106.629999999999</v>
      </c>
      <c r="F11" s="16">
        <v>81</v>
      </c>
      <c r="G11" s="17">
        <v>3.1</v>
      </c>
      <c r="I11" s="31">
        <v>3.5</v>
      </c>
      <c r="J11" s="12">
        <v>8</v>
      </c>
      <c r="K11" s="24">
        <f>SQRT(('Olah Semivariogram'!$D$5-'Olah Semivariogram'!D12)^2+('Olah Semivariogram'!$E$5-'Olah Semivariogram'!E12)^2)</f>
        <v>0.33837848631377154</v>
      </c>
      <c r="L11" s="24">
        <f>SQRT(('Olah Semivariogram'!$D$6-'Olah Semivariogram'!D12)^2+('Olah Semivariogram'!$E$6-'Olah Semivariogram'!E12)^2)</f>
        <v>0.78873316146844008</v>
      </c>
      <c r="M11" s="24">
        <f>SQRT(('Olah Semivariogram'!$D$7-'Olah Semivariogram'!D12)^2+('Olah Semivariogram'!$E$7-'Olah Semivariogram'!E12)^2)</f>
        <v>1.0602358228243387</v>
      </c>
      <c r="N11" s="24">
        <f>SQRT(('Olah Semivariogram'!$D$8-'Olah Semivariogram'!D12)^2+('Olah Semivariogram'!$E$8-'Olah Semivariogram'!E12)^2)</f>
        <v>0.75239617223906707</v>
      </c>
      <c r="O11" s="24">
        <f>SQRT(('Olah Semivariogram'!$D$9-'Olah Semivariogram'!D12)^2+('Olah Semivariogram'!$E$9-'Olah Semivariogram'!E12)^2)</f>
        <v>0.76843997813783893</v>
      </c>
      <c r="P11" s="24">
        <f>SQRT(('Olah Semivariogram'!$D$10-'Olah Semivariogram'!D12)^2+('Olah Semivariogram'!$E$10-'Olah Semivariogram'!E12)^2)</f>
        <v>0.74431176263813381</v>
      </c>
      <c r="Q11" s="24">
        <f>SQRT(('Olah Semivariogram'!$D$11-'Olah Semivariogram'!D12)^2+('Olah Semivariogram'!$E$11-'Olah Semivariogram'!E12)^2)</f>
        <v>0.40521599178709572</v>
      </c>
      <c r="R11" s="24">
        <f>SQRT(('Olah Semivariogram'!$D$12-'Olah Semivariogram'!D12)^2+('Olah Semivariogram'!$E$12-'Olah Semivariogram'!E12)^2)</f>
        <v>0</v>
      </c>
      <c r="S11" s="24">
        <f>SQRT(('Olah Semivariogram'!$D$13-'Olah Semivariogram'!D12)^2+('Olah Semivariogram'!$E$13-'Olah Semivariogram'!E12)^2)</f>
        <v>0.4152926678865656</v>
      </c>
      <c r="T11" s="24">
        <f>SQRT(('Olah Semivariogram'!$D$14-'Olah Semivariogram'!D12)^2+('Olah Semivariogram'!$E$14-'Olah Semivariogram'!E12)^2)</f>
        <v>0.38897300677623226</v>
      </c>
      <c r="U11" s="98">
        <f t="shared" si="1"/>
        <v>0.4143669871020137</v>
      </c>
      <c r="W11" s="55">
        <v>3.5</v>
      </c>
      <c r="X11" s="43">
        <v>3.5</v>
      </c>
      <c r="Y11" s="30">
        <v>0</v>
      </c>
      <c r="Z11" s="30">
        <f t="shared" si="2"/>
        <v>0</v>
      </c>
      <c r="AA11" s="58">
        <f t="shared" si="5"/>
        <v>0</v>
      </c>
      <c r="AC11" s="8">
        <v>8</v>
      </c>
      <c r="AD11" s="8">
        <f>COUNT(W51:W53)</f>
        <v>3</v>
      </c>
      <c r="AE11" s="35">
        <f>SUM(Z51:Z53)</f>
        <v>0.89999999999999969</v>
      </c>
      <c r="AF11" s="8">
        <f t="shared" si="10"/>
        <v>0.83974790455840242</v>
      </c>
      <c r="AG11" s="8">
        <v>0.77976591137565943</v>
      </c>
      <c r="AH11" s="8">
        <v>0.89972989774114542</v>
      </c>
      <c r="AI11" s="90">
        <f t="shared" si="11"/>
        <v>0.14999999999999994</v>
      </c>
      <c r="AK11" s="95">
        <f t="shared" si="15"/>
        <v>0.41912499999999991</v>
      </c>
      <c r="AL11" s="93">
        <f t="shared" si="6"/>
        <v>0.36240259941345465</v>
      </c>
      <c r="AM11" s="93">
        <f t="shared" si="7"/>
        <v>0.41144845785075917</v>
      </c>
      <c r="AN11" s="8">
        <f t="shared" si="16"/>
        <v>7.2428265624999974E-2</v>
      </c>
      <c r="AO11" s="8">
        <f t="shared" si="13"/>
        <v>4.5114864237592513E-2</v>
      </c>
      <c r="AP11" s="8">
        <f t="shared" si="14"/>
        <v>6.8355296112540209E-2</v>
      </c>
      <c r="AR11" s="12">
        <v>8</v>
      </c>
      <c r="AS11" s="8">
        <f t="shared" si="8"/>
        <v>0.38310644531249993</v>
      </c>
      <c r="AT11" s="8">
        <f t="shared" si="3"/>
        <v>0.41912499999999991</v>
      </c>
      <c r="AU11" s="8">
        <f t="shared" si="3"/>
        <v>0.41912499999999991</v>
      </c>
      <c r="AV11" s="8">
        <f t="shared" si="3"/>
        <v>0.41912499999999991</v>
      </c>
      <c r="AW11" s="8">
        <f t="shared" si="3"/>
        <v>0.41912499999999991</v>
      </c>
      <c r="AX11" s="8">
        <f t="shared" si="3"/>
        <v>0.41912499999999991</v>
      </c>
      <c r="AY11" s="8">
        <f t="shared" si="3"/>
        <v>0.38310644531249993</v>
      </c>
      <c r="AZ11" s="8">
        <f t="shared" si="3"/>
        <v>0</v>
      </c>
      <c r="BA11" s="8">
        <f t="shared" si="3"/>
        <v>0.38310644531249993</v>
      </c>
      <c r="BB11" s="8">
        <f t="shared" si="3"/>
        <v>0.38310644531249993</v>
      </c>
      <c r="BD11" s="12">
        <v>8</v>
      </c>
      <c r="BE11" s="8">
        <f t="shared" si="9"/>
        <v>0.38310644531249993</v>
      </c>
      <c r="BH11" s="12">
        <v>9</v>
      </c>
      <c r="BI11" s="8">
        <v>0.47670000000000001</v>
      </c>
      <c r="BJ11" s="8">
        <f t="shared" si="0"/>
        <v>2.1451500000000001</v>
      </c>
      <c r="BK11" s="8">
        <f t="shared" si="4"/>
        <v>0.61970999999999998</v>
      </c>
    </row>
    <row r="12" spans="1:68">
      <c r="A12" s="12">
        <v>8</v>
      </c>
      <c r="B12" s="18">
        <v>44247</v>
      </c>
      <c r="C12" s="14">
        <v>0.38552083333333298</v>
      </c>
      <c r="D12" s="15">
        <v>-7.75</v>
      </c>
      <c r="E12" s="15">
        <v>106.519999999999</v>
      </c>
      <c r="F12" s="16">
        <v>20</v>
      </c>
      <c r="G12" s="17">
        <v>3.5</v>
      </c>
      <c r="I12" s="31">
        <v>4.5</v>
      </c>
      <c r="J12" s="12">
        <v>9</v>
      </c>
      <c r="K12" s="24">
        <f>SQRT(('Olah Semivariogram'!$D$5-'Olah Semivariogram'!D13)^2+('Olah Semivariogram'!$E$5-'Olah Semivariogram'!E13)^2)</f>
        <v>9.9639349656469492E-2</v>
      </c>
      <c r="L12" s="24">
        <f>SQRT(('Olah Semivariogram'!$D$6-'Olah Semivariogram'!D13)^2+('Olah Semivariogram'!$E$6-'Olah Semivariogram'!E13)^2)</f>
        <v>0.40175614494286138</v>
      </c>
      <c r="M12" s="24">
        <f>SQRT(('Olah Semivariogram'!$D$7-'Olah Semivariogram'!D13)^2+('Olah Semivariogram'!$E$7-'Olah Semivariogram'!E13)^2)</f>
        <v>0.64498682157037124</v>
      </c>
      <c r="N12" s="24">
        <f>SQRT(('Olah Semivariogram'!$D$8-'Olah Semivariogram'!D13)^2+('Olah Semivariogram'!$E$8-'Olah Semivariogram'!E13)^2)</f>
        <v>0.72520893541023967</v>
      </c>
      <c r="O12" s="24">
        <f>SQRT(('Olah Semivariogram'!$D$9-'Olah Semivariogram'!D13)^2+('Olah Semivariogram'!$E$9-'Olah Semivariogram'!E13)^2)</f>
        <v>0.35850801943610949</v>
      </c>
      <c r="P12" s="24">
        <f>SQRT(('Olah Semivariogram'!$D$10-'Olah Semivariogram'!D13)^2+('Olah Semivariogram'!$E$10-'Olah Semivariogram'!E13)^2)</f>
        <v>0.72964923079519095</v>
      </c>
      <c r="Q12" s="24">
        <f>SQRT(('Olah Semivariogram'!$D$11-'Olah Semivariogram'!D13)^2+('Olah Semivariogram'!$E$11-'Olah Semivariogram'!E13)^2)</f>
        <v>6.3150613616361984E-2</v>
      </c>
      <c r="R12" s="24">
        <f>SQRT(('Olah Semivariogram'!$D$12-'Olah Semivariogram'!D13)^2+('Olah Semivariogram'!$E$12-'Olah Semivariogram'!E13)^2)</f>
        <v>0.4152926678865656</v>
      </c>
      <c r="S12" s="24">
        <f>SQRT(('Olah Semivariogram'!$D$13-'Olah Semivariogram'!D13)^2+('Olah Semivariogram'!$E$13-'Olah Semivariogram'!E13)^2)</f>
        <v>0</v>
      </c>
      <c r="T12" s="24">
        <f>SQRT(('Olah Semivariogram'!$D$14-'Olah Semivariogram'!D13)^2+('Olah Semivariogram'!$E$14-'Olah Semivariogram'!E13)^2)</f>
        <v>0.13859292911257254</v>
      </c>
      <c r="U12" s="98">
        <f t="shared" si="1"/>
        <v>0.11648175822943976</v>
      </c>
      <c r="W12" s="55">
        <v>4.5</v>
      </c>
      <c r="X12" s="43">
        <v>4.5</v>
      </c>
      <c r="Y12" s="30">
        <v>0</v>
      </c>
      <c r="Z12" s="30">
        <f t="shared" si="2"/>
        <v>0</v>
      </c>
      <c r="AA12" s="58">
        <f t="shared" si="5"/>
        <v>0</v>
      </c>
      <c r="AC12" s="8">
        <v>9</v>
      </c>
      <c r="AD12" s="8">
        <f>COUNT(W54:W55)</f>
        <v>2</v>
      </c>
      <c r="AE12" s="35">
        <f>SUM(Z54:Z55)</f>
        <v>2.96</v>
      </c>
      <c r="AF12" s="8">
        <f t="shared" si="10"/>
        <v>0.95971189092388853</v>
      </c>
      <c r="AG12" s="8">
        <v>0.89972989774114542</v>
      </c>
      <c r="AH12" s="8">
        <v>1.0196938841066316</v>
      </c>
      <c r="AI12" s="90">
        <f>AE12/(2*AD12)</f>
        <v>0.74</v>
      </c>
      <c r="AK12" s="95">
        <f t="shared" si="15"/>
        <v>0.41912499999999991</v>
      </c>
      <c r="AL12" s="93">
        <f t="shared" si="6"/>
        <v>0.37649940395049086</v>
      </c>
      <c r="AM12" s="93">
        <f t="shared" si="7"/>
        <v>0.41686880580591851</v>
      </c>
      <c r="AN12" s="8">
        <f>(AK12-AI12)^2</f>
        <v>0.10296076562500005</v>
      </c>
      <c r="AO12" s="8">
        <f t="shared" si="13"/>
        <v>0.1321326833283484</v>
      </c>
      <c r="AP12" s="8">
        <f t="shared" si="14"/>
        <v>0.1044137686612932</v>
      </c>
      <c r="AR12" s="12">
        <v>9</v>
      </c>
      <c r="AS12" s="8">
        <f t="shared" si="8"/>
        <v>0.15389746093749998</v>
      </c>
      <c r="AT12" s="8">
        <f t="shared" si="3"/>
        <v>0.38310644531249993</v>
      </c>
      <c r="AU12" s="8">
        <f t="shared" si="3"/>
        <v>0.41912499999999991</v>
      </c>
      <c r="AV12" s="8">
        <f t="shared" si="3"/>
        <v>0.41912499999999991</v>
      </c>
      <c r="AW12" s="8">
        <f t="shared" si="3"/>
        <v>0.38310644531249993</v>
      </c>
      <c r="AX12" s="8">
        <f t="shared" si="3"/>
        <v>0.41912499999999991</v>
      </c>
      <c r="AY12" s="8">
        <f t="shared" si="3"/>
        <v>0.15389746093749998</v>
      </c>
      <c r="AZ12" s="8">
        <f t="shared" si="3"/>
        <v>0.38310644531249993</v>
      </c>
      <c r="BA12" s="8">
        <f t="shared" si="3"/>
        <v>0</v>
      </c>
      <c r="BB12" s="8">
        <f t="shared" si="3"/>
        <v>0.15389746093749998</v>
      </c>
      <c r="BD12" s="12">
        <v>9</v>
      </c>
      <c r="BE12" s="8">
        <f t="shared" si="9"/>
        <v>0.15389746093749998</v>
      </c>
      <c r="BH12" s="12">
        <v>10</v>
      </c>
      <c r="BI12" s="8">
        <v>0.1283</v>
      </c>
      <c r="BJ12" s="8">
        <f t="shared" si="0"/>
        <v>0.35923999999999995</v>
      </c>
      <c r="BK12" s="8">
        <f t="shared" si="4"/>
        <v>-5.1320000000000046E-2</v>
      </c>
    </row>
    <row r="13" spans="1:68">
      <c r="A13" s="12">
        <v>9</v>
      </c>
      <c r="B13" s="13">
        <v>44248</v>
      </c>
      <c r="C13" s="14">
        <v>0.62260416666666674</v>
      </c>
      <c r="D13" s="15">
        <v>-7.3719999999999999</v>
      </c>
      <c r="E13" s="15">
        <v>106.69199999999999</v>
      </c>
      <c r="F13" s="16">
        <v>60</v>
      </c>
      <c r="G13" s="17">
        <v>4.5</v>
      </c>
      <c r="I13" s="32">
        <v>2.8</v>
      </c>
      <c r="J13" s="12">
        <v>10</v>
      </c>
      <c r="K13" s="24">
        <f>SQRT(('Olah Semivariogram'!$D$5-'Olah Semivariogram'!D14)^2+('Olah Semivariogram'!$E$5-'Olah Semivariogram'!E14)^2)</f>
        <v>8.0000000001007265E-2</v>
      </c>
      <c r="L13" s="24">
        <f>SQRT(('Olah Semivariogram'!$D$6-'Olah Semivariogram'!D14)^2+('Olah Semivariogram'!$E$6-'Olah Semivariogram'!E14)^2)</f>
        <v>0.40224370722180075</v>
      </c>
      <c r="M13" s="24">
        <f>SQRT(('Olah Semivariogram'!$D$7-'Olah Semivariogram'!D14)^2+('Olah Semivariogram'!$E$7-'Olah Semivariogram'!E14)^2)</f>
        <v>0.70342021580250225</v>
      </c>
      <c r="N13" s="24">
        <f>SQRT(('Olah Semivariogram'!$D$8-'Olah Semivariogram'!D14)^2+('Olah Semivariogram'!$E$8-'Olah Semivariogram'!E14)^2)</f>
        <v>0.58821764679328947</v>
      </c>
      <c r="O13" s="24">
        <f>SQRT(('Olah Semivariogram'!$D$9-'Olah Semivariogram'!D14)^2+('Olah Semivariogram'!$E$9-'Olah Semivariogram'!E14)^2)</f>
        <v>0.45099889135118748</v>
      </c>
      <c r="P13" s="24">
        <f>SQRT(('Olah Semivariogram'!$D$10-'Olah Semivariogram'!D14)^2+('Olah Semivariogram'!$E$10-'Olah Semivariogram'!E14)^2)</f>
        <v>0.59203040462462664</v>
      </c>
      <c r="Q13" s="24">
        <f>SQRT(('Olah Semivariogram'!$D$11-'Olah Semivariogram'!D14)^2+('Olah Semivariogram'!$E$11-'Olah Semivariogram'!E14)^2)</f>
        <v>0.1941648783903043</v>
      </c>
      <c r="R13" s="24">
        <f>SQRT(('Olah Semivariogram'!$D$12-'Olah Semivariogram'!D14)^2+('Olah Semivariogram'!$E$12-'Olah Semivariogram'!E14)^2)</f>
        <v>0.38897300677623226</v>
      </c>
      <c r="S13" s="24">
        <f>SQRT(('Olah Semivariogram'!$D$13-'Olah Semivariogram'!D14)^2+('Olah Semivariogram'!$E$13-'Olah Semivariogram'!E14)^2)</f>
        <v>0.13859292911257254</v>
      </c>
      <c r="T13" s="24">
        <f>SQRT(('Olah Semivariogram'!$D$14-'Olah Semivariogram'!D14)^2+('Olah Semivariogram'!$E$14-'Olah Semivariogram'!E14)^2)</f>
        <v>0</v>
      </c>
      <c r="U13" s="98">
        <f t="shared" si="1"/>
        <v>0.2469817807054219</v>
      </c>
      <c r="W13" s="56">
        <v>2.8</v>
      </c>
      <c r="X13" s="47">
        <v>2.8</v>
      </c>
      <c r="Y13" s="45">
        <v>0</v>
      </c>
      <c r="Z13" s="45">
        <f t="shared" si="2"/>
        <v>0</v>
      </c>
      <c r="AA13" s="58">
        <f t="shared" si="5"/>
        <v>0</v>
      </c>
      <c r="AC13" s="8">
        <v>10</v>
      </c>
      <c r="AD13" s="8">
        <f>COUNT(W56:W58)</f>
        <v>3</v>
      </c>
      <c r="AE13" s="35">
        <f>SUM(Z56:Z58)</f>
        <v>0.24999999999999983</v>
      </c>
      <c r="AF13" s="8">
        <f t="shared" si="10"/>
        <v>1.0796758772893746</v>
      </c>
      <c r="AG13" s="8">
        <v>1.0196938841066316</v>
      </c>
      <c r="AH13" s="8">
        <v>1.1396578704721176</v>
      </c>
      <c r="AI13" s="94">
        <f>AE13/(2*AD13)</f>
        <v>4.1666666666666637E-2</v>
      </c>
      <c r="AK13" s="95">
        <f t="shared" si="15"/>
        <v>0.41912499999999991</v>
      </c>
      <c r="AL13" s="93">
        <f t="shared" si="6"/>
        <v>0.38709283246499426</v>
      </c>
      <c r="AM13" s="93">
        <f t="shared" si="7"/>
        <v>0.41856177477879541</v>
      </c>
      <c r="AN13" s="8">
        <f t="shared" si="16"/>
        <v>0.14247479340277774</v>
      </c>
      <c r="AO13" s="8">
        <f>(AL13-AI13)^2</f>
        <v>0.11931923601813373</v>
      </c>
      <c r="AP13" s="8">
        <f t="shared" si="14"/>
        <v>0.14204992251885323</v>
      </c>
      <c r="AR13" s="12">
        <v>10</v>
      </c>
      <c r="AS13" s="8">
        <f t="shared" si="8"/>
        <v>0.15389746093749998</v>
      </c>
      <c r="AT13" s="8">
        <f t="shared" si="3"/>
        <v>0.38310644531249993</v>
      </c>
      <c r="AU13" s="8">
        <f t="shared" si="3"/>
        <v>0.41912499999999991</v>
      </c>
      <c r="AV13" s="8">
        <f t="shared" si="3"/>
        <v>0.41912499999999991</v>
      </c>
      <c r="AW13" s="8">
        <f t="shared" si="3"/>
        <v>0.41912499999999991</v>
      </c>
      <c r="AX13" s="8">
        <f t="shared" si="3"/>
        <v>0.41912499999999991</v>
      </c>
      <c r="AY13" s="8">
        <f t="shared" si="3"/>
        <v>0.28814843749999997</v>
      </c>
      <c r="AZ13" s="8">
        <f t="shared" si="3"/>
        <v>0.38310644531249993</v>
      </c>
      <c r="BA13" s="8">
        <f t="shared" si="3"/>
        <v>0.15389746093749998</v>
      </c>
      <c r="BB13" s="8">
        <f t="shared" si="3"/>
        <v>0</v>
      </c>
      <c r="BD13" s="12">
        <v>10</v>
      </c>
      <c r="BE13" s="8">
        <f t="shared" si="9"/>
        <v>0.28814843749999997</v>
      </c>
      <c r="BH13" s="69" t="s">
        <v>64</v>
      </c>
      <c r="BI13" s="8">
        <f>SUM(BI3:BI12)</f>
        <v>1.0623</v>
      </c>
      <c r="BJ13" s="36">
        <f>SUM(BJ3:BJ12)</f>
        <v>3.8986200000000002</v>
      </c>
      <c r="BK13" s="53">
        <f>N15+SUM(BK3:BK12)</f>
        <v>3.6992600000000002</v>
      </c>
    </row>
    <row r="14" spans="1:68">
      <c r="A14" s="12">
        <v>10</v>
      </c>
      <c r="B14" s="13">
        <v>44248</v>
      </c>
      <c r="C14" s="14">
        <v>0.96557870370370402</v>
      </c>
      <c r="D14" s="15">
        <v>-7.47</v>
      </c>
      <c r="E14" s="15">
        <v>106.79</v>
      </c>
      <c r="F14" s="16">
        <v>37</v>
      </c>
      <c r="G14" s="17">
        <v>2.8</v>
      </c>
      <c r="V14" s="9" t="s">
        <v>28</v>
      </c>
      <c r="W14" s="77">
        <v>3.2</v>
      </c>
      <c r="X14" s="77">
        <v>3.6</v>
      </c>
      <c r="Y14" s="33">
        <v>2.2360679774549374E-2</v>
      </c>
      <c r="Z14" s="52">
        <f t="shared" si="2"/>
        <v>0.15999999999999992</v>
      </c>
      <c r="AA14" s="59">
        <f>Z14/12</f>
        <v>1.3333333333333327E-2</v>
      </c>
      <c r="AJ14" s="92" t="s">
        <v>68</v>
      </c>
      <c r="AK14" s="89">
        <f>AVERAGE(AK4:AK13)</f>
        <v>0.34165408163265293</v>
      </c>
      <c r="AM14" s="21" t="s">
        <v>53</v>
      </c>
      <c r="AN14" s="8">
        <f>AVERAGE(AN4:AN13)</f>
        <v>6.5890704534858152E-2</v>
      </c>
      <c r="AO14" s="8">
        <f>AVERAGE(AO4:AO13)</f>
        <v>6.7816271986995774E-2</v>
      </c>
      <c r="AP14" s="8">
        <f>AVERAGE(AP4:AP13)</f>
        <v>7.9784833228117955E-2</v>
      </c>
    </row>
    <row r="15" spans="1:68">
      <c r="A15" s="98">
        <v>11</v>
      </c>
      <c r="B15" s="99">
        <v>44253</v>
      </c>
      <c r="C15" s="100">
        <v>0.14162037037037001</v>
      </c>
      <c r="D15" s="101">
        <v>-7.34</v>
      </c>
      <c r="E15" s="101">
        <v>106.579999999999</v>
      </c>
      <c r="F15" s="102">
        <v>91</v>
      </c>
      <c r="G15" s="103">
        <v>2.9</v>
      </c>
      <c r="H15" s="64" t="s">
        <v>56</v>
      </c>
      <c r="J15" s="37" t="s">
        <v>14</v>
      </c>
      <c r="K15" s="8">
        <v>0</v>
      </c>
      <c r="M15" s="109" t="s">
        <v>76</v>
      </c>
      <c r="N15" s="86">
        <f>AVERAGE(G5:G14)</f>
        <v>3.2</v>
      </c>
      <c r="W15" s="55">
        <v>3.1</v>
      </c>
      <c r="X15" s="43">
        <v>4.5</v>
      </c>
      <c r="Y15" s="28">
        <v>6.3150613616361984E-2</v>
      </c>
      <c r="Z15" s="49">
        <f t="shared" si="2"/>
        <v>1.9599999999999997</v>
      </c>
      <c r="AA15" s="59">
        <f t="shared" ref="AA15:AA19" si="17">Z15/12</f>
        <v>0.1633333333333333</v>
      </c>
      <c r="AM15" s="21" t="s">
        <v>54</v>
      </c>
      <c r="AN15" s="8">
        <f>SQRT(AN14)</f>
        <v>0.25669184742577655</v>
      </c>
      <c r="AO15" s="8">
        <f t="shared" ref="AO15:AP15" si="18">SQRT(AO14)</f>
        <v>0.26041557554607936</v>
      </c>
      <c r="AP15" s="8">
        <f t="shared" si="18"/>
        <v>0.28246209166562147</v>
      </c>
    </row>
    <row r="16" spans="1:68">
      <c r="A16" s="36">
        <v>12</v>
      </c>
      <c r="B16" s="104">
        <v>44257</v>
      </c>
      <c r="C16" s="105">
        <v>0.52834490740740703</v>
      </c>
      <c r="D16" s="106">
        <v>-7.82</v>
      </c>
      <c r="E16" s="106">
        <v>106.81</v>
      </c>
      <c r="F16" s="107">
        <v>10</v>
      </c>
      <c r="G16" s="108">
        <v>3.9</v>
      </c>
      <c r="J16" s="37" t="s">
        <v>15</v>
      </c>
      <c r="K16" s="53">
        <f>MAX(K4:T13)</f>
        <v>1.0796758772893746</v>
      </c>
      <c r="M16" s="109" t="s">
        <v>77</v>
      </c>
      <c r="N16" s="110">
        <f>AVERAGE(K4:K13,L5:L13,M6:M13,N7:N13,O8:O13,P9:P13,Q10:Q13,R11:R13,S12:S13,T13)</f>
        <v>0.44390755201884569</v>
      </c>
      <c r="W16" s="78">
        <v>3.2</v>
      </c>
      <c r="X16" s="81">
        <v>2.8</v>
      </c>
      <c r="Y16" s="28">
        <v>8.0000000001007265E-2</v>
      </c>
      <c r="Z16" s="49">
        <f t="shared" si="2"/>
        <v>0.16000000000000028</v>
      </c>
      <c r="AA16" s="59">
        <f t="shared" si="17"/>
        <v>1.3333333333333357E-2</v>
      </c>
      <c r="AM16" s="69" t="s">
        <v>55</v>
      </c>
      <c r="AN16" s="8">
        <f>SUM(AN4:AN13)</f>
        <v>0.65890704534858147</v>
      </c>
      <c r="AO16" s="8">
        <f>SUM(AO4:AO13)</f>
        <v>0.6781627198699578</v>
      </c>
      <c r="AP16" s="8">
        <f>SUM(AP4:AP13)</f>
        <v>0.79784833228117957</v>
      </c>
      <c r="AY16" s="132" t="s">
        <v>84</v>
      </c>
      <c r="AZ16" s="133"/>
    </row>
    <row r="17" spans="1:63">
      <c r="A17" s="36">
        <v>13</v>
      </c>
      <c r="B17" s="104">
        <v>44265</v>
      </c>
      <c r="C17" s="105">
        <v>0.171875</v>
      </c>
      <c r="D17" s="106">
        <v>-6.008</v>
      </c>
      <c r="E17" s="106">
        <v>107.117</v>
      </c>
      <c r="F17" s="107">
        <v>310</v>
      </c>
      <c r="G17" s="108">
        <v>4.0999999999999996</v>
      </c>
      <c r="W17" s="78">
        <v>3.2</v>
      </c>
      <c r="X17" s="81">
        <v>4.5</v>
      </c>
      <c r="Y17" s="28">
        <v>9.9639349656469492E-2</v>
      </c>
      <c r="Z17" s="49">
        <f t="shared" si="2"/>
        <v>1.6899999999999995</v>
      </c>
      <c r="AA17" s="59">
        <f t="shared" si="17"/>
        <v>0.14083333333333328</v>
      </c>
    </row>
    <row r="18" spans="1:63">
      <c r="A18" s="36">
        <v>14</v>
      </c>
      <c r="B18" s="104">
        <v>44274</v>
      </c>
      <c r="C18" s="105">
        <v>0.74129629629629601</v>
      </c>
      <c r="D18" s="106">
        <v>-7.78</v>
      </c>
      <c r="E18" s="106">
        <v>106.969999999999</v>
      </c>
      <c r="F18" s="107">
        <v>25</v>
      </c>
      <c r="G18" s="108">
        <v>3.1</v>
      </c>
      <c r="J18" s="122" t="s">
        <v>16</v>
      </c>
      <c r="K18" s="123"/>
      <c r="L18" s="123"/>
      <c r="M18" s="123"/>
      <c r="N18" s="124"/>
      <c r="W18" s="78">
        <v>3.2</v>
      </c>
      <c r="X18" s="81">
        <v>3.1</v>
      </c>
      <c r="Y18" s="28">
        <v>0.13601470508735297</v>
      </c>
      <c r="Z18" s="49">
        <f t="shared" si="2"/>
        <v>1.0000000000000018E-2</v>
      </c>
      <c r="AA18" s="59">
        <f t="shared" si="17"/>
        <v>8.333333333333348E-4</v>
      </c>
      <c r="AH18" s="21" t="s">
        <v>48</v>
      </c>
      <c r="AI18" s="90">
        <v>0</v>
      </c>
      <c r="AJ18" s="63"/>
      <c r="AK18" s="95">
        <v>0</v>
      </c>
      <c r="AL18" s="8">
        <v>0</v>
      </c>
      <c r="AM18" s="8">
        <v>0</v>
      </c>
    </row>
    <row r="19" spans="1:63">
      <c r="A19" s="36">
        <v>15</v>
      </c>
      <c r="B19" s="104">
        <v>44274</v>
      </c>
      <c r="C19" s="105">
        <v>0.22549768518518501</v>
      </c>
      <c r="D19" s="106">
        <v>-7.73</v>
      </c>
      <c r="E19" s="106">
        <v>106.92</v>
      </c>
      <c r="F19" s="107">
        <v>25</v>
      </c>
      <c r="G19" s="108">
        <v>2.8</v>
      </c>
      <c r="J19" s="8"/>
      <c r="K19" s="121" t="s">
        <v>22</v>
      </c>
      <c r="L19" s="121"/>
      <c r="M19" s="121"/>
      <c r="N19" s="8"/>
      <c r="P19" s="97"/>
      <c r="W19" s="56">
        <v>4.5</v>
      </c>
      <c r="X19" s="47">
        <v>2.8</v>
      </c>
      <c r="Y19" s="29">
        <v>0.13859292911257254</v>
      </c>
      <c r="Z19" s="50">
        <f t="shared" si="2"/>
        <v>2.8900000000000006</v>
      </c>
      <c r="AA19" s="59">
        <f t="shared" si="17"/>
        <v>0.24083333333333337</v>
      </c>
      <c r="AH19" s="21" t="s">
        <v>47</v>
      </c>
      <c r="AI19" s="94">
        <f>AVERAGE(AI7:AI8)</f>
        <v>0.41912499999999991</v>
      </c>
      <c r="AJ19" s="63"/>
      <c r="AK19" s="95">
        <f>AK8</f>
        <v>0.41912499999999991</v>
      </c>
      <c r="AL19" s="93">
        <f>AL11</f>
        <v>0.36240259941345465</v>
      </c>
      <c r="AM19" s="93">
        <f>AM11</f>
        <v>0.41144845785075917</v>
      </c>
    </row>
    <row r="20" spans="1:63">
      <c r="A20" s="8">
        <v>16</v>
      </c>
      <c r="B20" s="3">
        <v>44275</v>
      </c>
      <c r="C20" s="4">
        <v>0.75657407407407395</v>
      </c>
      <c r="D20" s="5">
        <v>-7.82</v>
      </c>
      <c r="E20" s="5">
        <v>107.26</v>
      </c>
      <c r="F20" s="6">
        <v>23</v>
      </c>
      <c r="G20" s="7">
        <v>4.0999999999999996</v>
      </c>
      <c r="J20" s="8"/>
      <c r="K20" s="20" t="s">
        <v>17</v>
      </c>
      <c r="L20" s="25" t="s">
        <v>18</v>
      </c>
      <c r="M20" s="20" t="s">
        <v>19</v>
      </c>
      <c r="N20" s="20" t="s">
        <v>20</v>
      </c>
      <c r="V20" s="9" t="s">
        <v>31</v>
      </c>
      <c r="W20" s="54">
        <v>3.1</v>
      </c>
      <c r="X20" s="60">
        <v>2.8</v>
      </c>
      <c r="Y20" s="33">
        <v>0.1941648783903043</v>
      </c>
      <c r="Z20" s="52">
        <f t="shared" si="2"/>
        <v>9.0000000000000163E-2</v>
      </c>
      <c r="AA20" s="59">
        <f>Z20/4</f>
        <v>2.2500000000000041E-2</v>
      </c>
      <c r="AH20" s="21" t="s">
        <v>49</v>
      </c>
      <c r="AI20" s="94">
        <f>MEDIAN(AF7:AF8)</f>
        <v>0.41987395227920121</v>
      </c>
      <c r="AJ20" s="63"/>
      <c r="AK20" s="95">
        <f>AF8</f>
        <v>0.47985594546194427</v>
      </c>
      <c r="AL20" s="93">
        <f>AF11</f>
        <v>0.83974790455840242</v>
      </c>
      <c r="AM20" s="93">
        <f>AF11</f>
        <v>0.83974790455840242</v>
      </c>
      <c r="AY20" s="139" t="s">
        <v>83</v>
      </c>
      <c r="AZ20" s="146"/>
    </row>
    <row r="21" spans="1:63">
      <c r="A21" s="8">
        <v>17</v>
      </c>
      <c r="B21" s="3">
        <v>44276</v>
      </c>
      <c r="C21" s="4">
        <v>0.28738425925925898</v>
      </c>
      <c r="D21" s="5">
        <v>-7.73</v>
      </c>
      <c r="E21" s="5">
        <v>106.95</v>
      </c>
      <c r="F21" s="6">
        <v>28</v>
      </c>
      <c r="G21" s="7">
        <v>2.9</v>
      </c>
      <c r="I21" s="9"/>
      <c r="J21" s="8">
        <v>1</v>
      </c>
      <c r="K21" s="8">
        <v>0</v>
      </c>
      <c r="L21" s="8">
        <v>0</v>
      </c>
      <c r="M21" s="8">
        <v>0</v>
      </c>
      <c r="N21" s="8">
        <v>0</v>
      </c>
      <c r="W21" s="56">
        <v>2.7</v>
      </c>
      <c r="X21" s="47">
        <v>2.2000000000000002</v>
      </c>
      <c r="Y21" s="29">
        <v>0.28635642126461563</v>
      </c>
      <c r="Z21" s="50">
        <f t="shared" si="2"/>
        <v>0.25</v>
      </c>
      <c r="AA21" s="59">
        <f>Z21/4</f>
        <v>6.25E-2</v>
      </c>
      <c r="AR21" s="143" t="s">
        <v>66</v>
      </c>
      <c r="AS21" s="143"/>
      <c r="AT21" s="143"/>
      <c r="AU21" s="144" t="s">
        <v>79</v>
      </c>
      <c r="AV21" s="145"/>
    </row>
    <row r="22" spans="1:63">
      <c r="A22" s="8">
        <v>18</v>
      </c>
      <c r="B22" s="3">
        <v>44280</v>
      </c>
      <c r="C22" s="4">
        <v>0.682997685185185</v>
      </c>
      <c r="D22" s="5">
        <v>-7.84</v>
      </c>
      <c r="E22" s="5">
        <v>107.269999999999</v>
      </c>
      <c r="F22" s="6">
        <v>28</v>
      </c>
      <c r="G22" s="7">
        <v>3.4</v>
      </c>
      <c r="I22" s="9"/>
      <c r="J22" s="8">
        <v>2</v>
      </c>
      <c r="K22" s="8">
        <f t="shared" ref="K22:K30" si="19">($K$16/(10-$J$21))*(J22-$J$21)</f>
        <v>0.11996398636548607</v>
      </c>
      <c r="L22" s="8">
        <f t="shared" ref="L22:L30" si="20">K22-K21</f>
        <v>0.11996398636548607</v>
      </c>
      <c r="M22" s="8">
        <f t="shared" ref="M22:M30" si="21">K22-(L22/2)</f>
        <v>5.9981993182743033E-2</v>
      </c>
      <c r="N22" s="8">
        <f t="shared" ref="N22:N30" si="22">K22+(L22/2)</f>
        <v>0.17994597954822911</v>
      </c>
      <c r="V22" s="9" t="s">
        <v>29</v>
      </c>
      <c r="W22" s="70">
        <v>3.2</v>
      </c>
      <c r="X22" s="83">
        <v>2.2000000000000002</v>
      </c>
      <c r="Y22" s="33">
        <v>0.31144823004727346</v>
      </c>
      <c r="Z22" s="52">
        <f t="shared" si="2"/>
        <v>1</v>
      </c>
      <c r="AA22" s="59">
        <f>Z22/20</f>
        <v>0.05</v>
      </c>
      <c r="AR22" s="143"/>
      <c r="AS22" s="143"/>
      <c r="AT22" s="143"/>
      <c r="AU22" s="145"/>
      <c r="AV22" s="145"/>
    </row>
    <row r="23" spans="1:63">
      <c r="A23" s="8">
        <v>19</v>
      </c>
      <c r="B23" s="3">
        <v>44281</v>
      </c>
      <c r="C23" s="4">
        <v>0.64665509259259302</v>
      </c>
      <c r="D23" s="5">
        <v>-7.11</v>
      </c>
      <c r="E23" s="5">
        <v>107.42</v>
      </c>
      <c r="F23" s="6">
        <v>10</v>
      </c>
      <c r="G23" s="7">
        <v>2.7</v>
      </c>
      <c r="I23" s="9"/>
      <c r="J23" s="8">
        <v>3</v>
      </c>
      <c r="K23" s="8">
        <f t="shared" si="19"/>
        <v>0.23992797273097213</v>
      </c>
      <c r="L23" s="8">
        <f t="shared" si="20"/>
        <v>0.11996398636548607</v>
      </c>
      <c r="M23" s="8">
        <f t="shared" si="21"/>
        <v>0.17994597954822911</v>
      </c>
      <c r="N23" s="8">
        <f t="shared" si="22"/>
        <v>0.29990996591371516</v>
      </c>
      <c r="W23" s="78">
        <v>3.2</v>
      </c>
      <c r="X23" s="81">
        <v>3.5</v>
      </c>
      <c r="Y23" s="28">
        <v>0.33837848631377154</v>
      </c>
      <c r="Z23" s="49">
        <f t="shared" si="2"/>
        <v>8.99999999999999E-2</v>
      </c>
      <c r="AA23" s="59">
        <f t="shared" ref="AA23:AA31" si="23">Z23/20</f>
        <v>4.4999999999999953E-3</v>
      </c>
      <c r="AJ23" s="119" t="s">
        <v>68</v>
      </c>
      <c r="AK23" s="21" t="s">
        <v>44</v>
      </c>
      <c r="AL23" s="21" t="s">
        <v>45</v>
      </c>
      <c r="AM23" s="21" t="s">
        <v>46</v>
      </c>
      <c r="AR23" s="69" t="s">
        <v>57</v>
      </c>
      <c r="AS23" s="12">
        <v>1</v>
      </c>
      <c r="AT23" s="12">
        <v>2</v>
      </c>
      <c r="AU23" s="12">
        <v>3</v>
      </c>
      <c r="AV23" s="12">
        <v>4</v>
      </c>
      <c r="AW23" s="12">
        <v>5</v>
      </c>
      <c r="AX23" s="12">
        <v>6</v>
      </c>
      <c r="AY23" s="12">
        <v>7</v>
      </c>
      <c r="AZ23" s="12">
        <v>8</v>
      </c>
      <c r="BA23" s="12">
        <v>9</v>
      </c>
      <c r="BB23" s="12">
        <v>10</v>
      </c>
      <c r="BD23" s="69" t="s">
        <v>59</v>
      </c>
      <c r="BE23" s="12">
        <v>11</v>
      </c>
      <c r="BH23" s="141" t="s">
        <v>61</v>
      </c>
      <c r="BI23" s="142"/>
      <c r="BJ23" s="112" t="s">
        <v>81</v>
      </c>
      <c r="BK23" s="112" t="s">
        <v>82</v>
      </c>
    </row>
    <row r="24" spans="1:63">
      <c r="A24" s="8">
        <v>20</v>
      </c>
      <c r="B24" s="3">
        <v>44281</v>
      </c>
      <c r="C24" s="4">
        <v>0.13204861111111099</v>
      </c>
      <c r="D24" s="5">
        <v>-7.59</v>
      </c>
      <c r="E24" s="5">
        <v>106.769999999999</v>
      </c>
      <c r="F24" s="6">
        <v>35</v>
      </c>
      <c r="G24" s="7">
        <v>2.8</v>
      </c>
      <c r="I24" s="9"/>
      <c r="J24" s="8">
        <v>4</v>
      </c>
      <c r="K24" s="8">
        <f t="shared" si="19"/>
        <v>0.35989195909645821</v>
      </c>
      <c r="L24" s="8">
        <f t="shared" si="20"/>
        <v>0.11996398636548608</v>
      </c>
      <c r="M24" s="8">
        <f t="shared" si="21"/>
        <v>0.29990996591371516</v>
      </c>
      <c r="N24" s="8">
        <f t="shared" si="22"/>
        <v>0.41987395227920127</v>
      </c>
      <c r="W24" s="55">
        <v>2.7</v>
      </c>
      <c r="X24" s="43">
        <v>3.2</v>
      </c>
      <c r="Y24" s="28">
        <v>0.35355339059327301</v>
      </c>
      <c r="Z24" s="49">
        <f t="shared" si="2"/>
        <v>0.25</v>
      </c>
      <c r="AA24" s="59">
        <f t="shared" si="23"/>
        <v>1.2500000000000001E-2</v>
      </c>
      <c r="AI24" s="8">
        <v>0</v>
      </c>
      <c r="AJ24" s="8">
        <v>0</v>
      </c>
      <c r="AK24" s="8">
        <v>0</v>
      </c>
      <c r="AL24" s="95">
        <v>0</v>
      </c>
      <c r="AM24" s="8">
        <v>0</v>
      </c>
      <c r="AR24" s="12">
        <v>1</v>
      </c>
      <c r="AS24" s="8">
        <f>IF(K4&lt;=$K$25,$AK$19*(1.5*(K4/$AK$20)-0.5*(K4/$AK$20)^3),$AK$19)</f>
        <v>0</v>
      </c>
      <c r="AT24" s="8">
        <f t="shared" ref="AT24:AT33" si="24">IF(L4&lt;=$K$25,$AK$19*(1.5*(L4/$AK$20)-0.5*(L4/$AK$20)^3),$AK$19)</f>
        <v>0.41715948927059321</v>
      </c>
      <c r="AU24" s="8">
        <f t="shared" ref="AU24:AU33" si="25">IF(M4&lt;=$K$25,$AK$19*(1.5*(M4/$AK$20)-0.5*(M4/$AK$20)^3),$AK$19)</f>
        <v>0.41912499999999991</v>
      </c>
      <c r="AV24" s="8">
        <f t="shared" ref="AV24:AV33" si="26">IF(N4&lt;=$K$25,$AK$19*(1.5*(N4/$AK$20)-0.5*(N4/$AK$20)^3),$AK$19)</f>
        <v>0.41912499999999991</v>
      </c>
      <c r="AW24" s="8">
        <f t="shared" ref="AW24:AW33" si="27">IF(O4&lt;=$K$25,$AK$19*(1.5*(O4/$AK$20)-0.5*(O4/$AK$20)^3),$AK$19)</f>
        <v>0.41715948927060892</v>
      </c>
      <c r="AX24" s="8">
        <f t="shared" ref="AX24:AX33" si="28">IF(P4&lt;=$K$25,$AK$19*(1.5*(P4/$AK$20)-0.5*(P4/$AK$20)^3),$AK$19)</f>
        <v>0.41912499999999991</v>
      </c>
      <c r="AY24" s="8">
        <f t="shared" ref="AY24:AY33" si="29">IF(Q4&lt;=$K$25,$AK$19*(1.5*(Q4/$AK$20)-0.5*(Q4/$AK$20)^3),$AK$19)</f>
        <v>0.1734284471980605</v>
      </c>
      <c r="AZ24" s="8">
        <f t="shared" ref="AZ24:AZ33" si="30">IF(R4&lt;=$K$25,$AK$19*(1.5*(R4/$AK$20)-0.5*(R4/$AK$20)^3),$AK$19)</f>
        <v>0.3698461727330043</v>
      </c>
      <c r="BA24" s="8">
        <f t="shared" ref="BA24:BA33" si="31">IF(S4&lt;=$K$25,$AK$19*(1.5*(S4/$AK$20)-0.5*(S4/$AK$20)^3),$AK$19)</f>
        <v>0.12866719689168257</v>
      </c>
      <c r="BB24" s="8">
        <f t="shared" ref="BB24:BB33" si="32">IF(T4&lt;=$K$25,$AK$19*(1.5*(T4/$AK$20)-0.5*(T4/$AK$20)^3),$AK$19)</f>
        <v>0.10384163493030614</v>
      </c>
      <c r="BD24" s="12">
        <v>1</v>
      </c>
      <c r="BE24" s="8">
        <f t="shared" ref="BE24:BE33" si="33">IF(U4&lt;=$K$25,$AK$19*(1.5*(K4/$AK$20)-0.5*(K4/$AK$20)^3),$AK$19)</f>
        <v>0</v>
      </c>
      <c r="BH24" s="12">
        <v>1</v>
      </c>
      <c r="BI24" s="8">
        <v>6.1999999999999998E-3</v>
      </c>
      <c r="BJ24" s="8">
        <f t="shared" ref="BJ24:BJ33" si="34">BI24*G5</f>
        <v>1.984E-2</v>
      </c>
      <c r="BK24" s="8">
        <f>BI24*(G5-$N$15)</f>
        <v>0</v>
      </c>
    </row>
    <row r="25" spans="1:63">
      <c r="A25" s="8">
        <v>21</v>
      </c>
      <c r="B25" s="3">
        <v>44284</v>
      </c>
      <c r="C25" s="4">
        <v>0.69548611111111103</v>
      </c>
      <c r="D25" s="5">
        <v>-7.48</v>
      </c>
      <c r="E25" s="5">
        <v>106.73</v>
      </c>
      <c r="F25" s="6">
        <v>34</v>
      </c>
      <c r="G25" s="7">
        <v>2.9</v>
      </c>
      <c r="I25" s="9"/>
      <c r="J25" s="8">
        <v>5</v>
      </c>
      <c r="K25" s="8">
        <f t="shared" si="19"/>
        <v>0.47985594546194427</v>
      </c>
      <c r="L25" s="8">
        <f t="shared" si="20"/>
        <v>0.11996398636548605</v>
      </c>
      <c r="M25" s="8">
        <f t="shared" si="21"/>
        <v>0.41987395227920121</v>
      </c>
      <c r="N25" s="8">
        <f t="shared" si="22"/>
        <v>0.53983793864468732</v>
      </c>
      <c r="W25" s="55">
        <v>2.2000000000000002</v>
      </c>
      <c r="X25" s="43">
        <v>4.5</v>
      </c>
      <c r="Y25" s="28">
        <v>0.35850801943610949</v>
      </c>
      <c r="Z25" s="49">
        <f t="shared" si="2"/>
        <v>5.2899999999999991</v>
      </c>
      <c r="AA25" s="59">
        <f t="shared" si="23"/>
        <v>0.26449999999999996</v>
      </c>
      <c r="AH25">
        <v>0.2</v>
      </c>
      <c r="AI25" s="8">
        <v>0.1</v>
      </c>
      <c r="AJ25" s="8">
        <v>0.20470588235294118</v>
      </c>
      <c r="AK25" s="8">
        <f>$AJ$32*(1.5*(AH25/$AJ$33)-0.5*(AH25/$AJ$33)^3)</f>
        <v>0.28004736799146074</v>
      </c>
      <c r="AL25" s="95">
        <f>$AJ$32*(1-EXP(-(AH25/$AJ$33)))</f>
        <v>0.17149991722400465</v>
      </c>
      <c r="AM25" s="8">
        <f>$AJ$32*(1-EXP(-((AH25)^2/($AJ$33)^2)))</f>
        <v>3.7097345820476052E-2</v>
      </c>
      <c r="AR25" s="12">
        <v>2</v>
      </c>
      <c r="AS25" s="8">
        <f t="shared" ref="AS25:AS33" si="35">IF(K5&lt;=$K$25,$AK$19*(1.5*(K5/$AK$20)-0.5*(K5/$AK$20)^3),$AK$19)</f>
        <v>0.41715948927059321</v>
      </c>
      <c r="AT25" s="8">
        <f t="shared" si="24"/>
        <v>0</v>
      </c>
      <c r="AU25" s="8">
        <f t="shared" si="25"/>
        <v>0.37939142293467976</v>
      </c>
      <c r="AV25" s="8">
        <f t="shared" si="26"/>
        <v>0.41912499999999991</v>
      </c>
      <c r="AW25" s="8">
        <f t="shared" si="27"/>
        <v>0.3306373655409276</v>
      </c>
      <c r="AX25" s="8">
        <f t="shared" si="28"/>
        <v>0.41912499999999991</v>
      </c>
      <c r="AY25" s="8">
        <f t="shared" si="29"/>
        <v>0.41637715109473433</v>
      </c>
      <c r="AZ25" s="8">
        <f t="shared" si="30"/>
        <v>0.41912499999999991</v>
      </c>
      <c r="BA25" s="8">
        <f t="shared" si="31"/>
        <v>0.40337472180099726</v>
      </c>
      <c r="BB25" s="8">
        <f t="shared" si="32"/>
        <v>0.40356518977592598</v>
      </c>
      <c r="BD25" s="12">
        <v>2</v>
      </c>
      <c r="BE25" s="8">
        <f t="shared" si="33"/>
        <v>0.41912499999999991</v>
      </c>
      <c r="BH25" s="12">
        <v>2</v>
      </c>
      <c r="BI25" s="8">
        <v>4.1399999999999999E-2</v>
      </c>
      <c r="BJ25" s="8">
        <f t="shared" si="34"/>
        <v>0.11178</v>
      </c>
      <c r="BK25" s="8">
        <f t="shared" ref="BK25:BK33" si="36">BI25*(G6-$N$15)</f>
        <v>-2.07E-2</v>
      </c>
    </row>
    <row r="26" spans="1:63">
      <c r="A26" s="8">
        <v>22</v>
      </c>
      <c r="B26" s="3">
        <v>44285</v>
      </c>
      <c r="C26" s="4">
        <v>0.54890046296296302</v>
      </c>
      <c r="D26" s="5">
        <v>-7.69</v>
      </c>
      <c r="E26" s="5">
        <v>106.59</v>
      </c>
      <c r="F26" s="6">
        <v>28</v>
      </c>
      <c r="G26" s="7">
        <v>2.8</v>
      </c>
      <c r="J26" s="8">
        <v>6</v>
      </c>
      <c r="K26" s="8">
        <f t="shared" si="19"/>
        <v>0.59981993182743032</v>
      </c>
      <c r="L26" s="8">
        <f t="shared" si="20"/>
        <v>0.11996398636548605</v>
      </c>
      <c r="M26" s="8">
        <f t="shared" si="21"/>
        <v>0.53983793864468732</v>
      </c>
      <c r="N26" s="8">
        <f t="shared" si="22"/>
        <v>0.65980192501017332</v>
      </c>
      <c r="W26" s="55">
        <v>2.2000000000000002</v>
      </c>
      <c r="X26" s="43">
        <v>3.1</v>
      </c>
      <c r="Y26" s="28">
        <v>0.36400549446438535</v>
      </c>
      <c r="Z26" s="49">
        <f t="shared" si="2"/>
        <v>0.80999999999999983</v>
      </c>
      <c r="AA26" s="59">
        <f t="shared" si="23"/>
        <v>4.0499999999999994E-2</v>
      </c>
      <c r="AH26">
        <v>0.4</v>
      </c>
      <c r="AI26" s="8">
        <v>0.3</v>
      </c>
      <c r="AJ26" s="8">
        <v>0.34303186412795156</v>
      </c>
      <c r="AK26" s="8">
        <f t="shared" ref="AK26:AK29" si="37">$AJ$32*(1.5*(AH26/$AJ$33)-0.5*(AH26/$AJ$33)^3)</f>
        <v>0.53738819263226245</v>
      </c>
      <c r="AL26" s="95">
        <f t="shared" ref="AL26:AL30" si="38">$AJ$32*(1-EXP(-(AH26/$AJ$33)))</f>
        <v>0.31191217360562545</v>
      </c>
      <c r="AM26" s="8">
        <f t="shared" ref="AM26:AM30" si="39">$AJ$32*(1-EXP(-((AH26)^2/($AJ$33)^2)))</f>
        <v>0.13988764439595433</v>
      </c>
      <c r="AR26" s="12">
        <v>3</v>
      </c>
      <c r="AS26" s="8">
        <f t="shared" si="35"/>
        <v>0.41912499999999991</v>
      </c>
      <c r="AT26" s="8">
        <f t="shared" si="24"/>
        <v>0.37939142293467976</v>
      </c>
      <c r="AU26" s="8">
        <f t="shared" si="25"/>
        <v>0</v>
      </c>
      <c r="AV26" s="8">
        <f t="shared" si="26"/>
        <v>0.41912499999999991</v>
      </c>
      <c r="AW26" s="8">
        <f t="shared" si="27"/>
        <v>0.35074876890704926</v>
      </c>
      <c r="AX26" s="8">
        <f t="shared" si="28"/>
        <v>0.41912499999999991</v>
      </c>
      <c r="AY26" s="8">
        <f t="shared" si="29"/>
        <v>0.41912499999999991</v>
      </c>
      <c r="AZ26" s="8">
        <f t="shared" si="30"/>
        <v>0.41912499999999991</v>
      </c>
      <c r="BA26" s="8">
        <f t="shared" si="31"/>
        <v>0.41912499999999991</v>
      </c>
      <c r="BB26" s="8">
        <f t="shared" si="32"/>
        <v>0.41912499999999991</v>
      </c>
      <c r="BD26" s="12">
        <v>3</v>
      </c>
      <c r="BE26" s="8">
        <f t="shared" si="33"/>
        <v>0.41912499999999991</v>
      </c>
      <c r="BH26" s="12">
        <v>3</v>
      </c>
      <c r="BI26" s="8">
        <v>4.3099999999999999E-2</v>
      </c>
      <c r="BJ26" s="8">
        <f t="shared" si="34"/>
        <v>0.13792000000000001</v>
      </c>
      <c r="BK26" s="8">
        <f t="shared" si="36"/>
        <v>0</v>
      </c>
    </row>
    <row r="27" spans="1:63">
      <c r="A27" s="8">
        <v>23</v>
      </c>
      <c r="B27" s="3">
        <v>44285</v>
      </c>
      <c r="C27" s="4">
        <v>0.50138888888888899</v>
      </c>
      <c r="D27" s="5">
        <v>-7</v>
      </c>
      <c r="E27" s="5">
        <v>106.56</v>
      </c>
      <c r="F27" s="6">
        <v>128</v>
      </c>
      <c r="G27" s="7">
        <v>3.4</v>
      </c>
      <c r="J27" s="8">
        <v>7</v>
      </c>
      <c r="K27" s="8">
        <f t="shared" si="19"/>
        <v>0.71978391819291643</v>
      </c>
      <c r="L27" s="8">
        <f t="shared" si="20"/>
        <v>0.11996398636548611</v>
      </c>
      <c r="M27" s="8">
        <f t="shared" si="21"/>
        <v>0.65980192501017343</v>
      </c>
      <c r="N27" s="8">
        <f t="shared" si="22"/>
        <v>0.77976591137565943</v>
      </c>
      <c r="W27" s="55">
        <v>3.5</v>
      </c>
      <c r="X27" s="43">
        <v>2.8</v>
      </c>
      <c r="Y27" s="28">
        <v>0.38897300677623226</v>
      </c>
      <c r="Z27" s="49">
        <f t="shared" si="2"/>
        <v>0.49000000000000027</v>
      </c>
      <c r="AA27" s="59">
        <f t="shared" si="23"/>
        <v>2.4500000000000015E-2</v>
      </c>
      <c r="AH27">
        <v>0.6</v>
      </c>
      <c r="AI27" s="8">
        <v>0.5</v>
      </c>
      <c r="AJ27" s="8">
        <v>0.46090662319660441</v>
      </c>
      <c r="AK27" s="8">
        <f t="shared" si="37"/>
        <v>0.74931593057174606</v>
      </c>
      <c r="AL27" s="95">
        <f t="shared" si="38"/>
        <v>0.42687200601432862</v>
      </c>
      <c r="AM27" s="8">
        <f t="shared" si="39"/>
        <v>0.28603023366660923</v>
      </c>
      <c r="AR27" s="12">
        <v>4</v>
      </c>
      <c r="AS27" s="8">
        <f t="shared" si="35"/>
        <v>0.41912499999999991</v>
      </c>
      <c r="AT27" s="8">
        <f t="shared" si="24"/>
        <v>0.41912499999999991</v>
      </c>
      <c r="AU27" s="8">
        <f t="shared" si="25"/>
        <v>0.41912499999999991</v>
      </c>
      <c r="AV27" s="8">
        <f t="shared" si="26"/>
        <v>0</v>
      </c>
      <c r="AW27" s="8">
        <f t="shared" si="27"/>
        <v>0.41912499999999991</v>
      </c>
      <c r="AX27" s="8">
        <f t="shared" si="28"/>
        <v>2.9274836975789299E-2</v>
      </c>
      <c r="AY27" s="8">
        <f t="shared" si="29"/>
        <v>0.41912499999999991</v>
      </c>
      <c r="AZ27" s="8">
        <f t="shared" si="30"/>
        <v>0.41912499999999991</v>
      </c>
      <c r="BA27" s="8">
        <f t="shared" si="31"/>
        <v>0.41912499999999991</v>
      </c>
      <c r="BB27" s="8">
        <f t="shared" si="32"/>
        <v>0.41912499999999991</v>
      </c>
      <c r="BD27" s="12">
        <v>4</v>
      </c>
      <c r="BE27" s="8">
        <f t="shared" si="33"/>
        <v>0.41912499999999991</v>
      </c>
      <c r="BH27" s="12">
        <v>4</v>
      </c>
      <c r="BI27" s="8">
        <v>2.5100000000000001E-2</v>
      </c>
      <c r="BJ27" s="8">
        <f t="shared" si="34"/>
        <v>8.0320000000000003E-2</v>
      </c>
      <c r="BK27" s="8">
        <f t="shared" si="36"/>
        <v>0</v>
      </c>
    </row>
    <row r="28" spans="1:63">
      <c r="A28" s="8">
        <v>24</v>
      </c>
      <c r="B28" s="3">
        <v>44320</v>
      </c>
      <c r="C28" s="4">
        <v>0.58545138888888892</v>
      </c>
      <c r="D28" s="5">
        <v>-6.992</v>
      </c>
      <c r="E28" s="5">
        <v>106.721</v>
      </c>
      <c r="F28" s="6">
        <v>72.2</v>
      </c>
      <c r="G28" s="7">
        <v>4.5</v>
      </c>
      <c r="J28" s="8">
        <v>8</v>
      </c>
      <c r="K28" s="8">
        <f t="shared" si="19"/>
        <v>0.83974790455840242</v>
      </c>
      <c r="L28" s="8">
        <f t="shared" si="20"/>
        <v>0.119963986365486</v>
      </c>
      <c r="M28" s="8">
        <f t="shared" si="21"/>
        <v>0.77976591137565943</v>
      </c>
      <c r="N28" s="8">
        <f t="shared" si="22"/>
        <v>0.89972989774114542</v>
      </c>
      <c r="W28" s="55">
        <v>2.7</v>
      </c>
      <c r="X28" s="43">
        <v>4.5</v>
      </c>
      <c r="Y28" s="28">
        <v>0.40175614494286138</v>
      </c>
      <c r="Z28" s="49">
        <f t="shared" si="2"/>
        <v>3.2399999999999993</v>
      </c>
      <c r="AA28" s="59">
        <f t="shared" si="23"/>
        <v>0.16199999999999998</v>
      </c>
      <c r="AH28">
        <v>0.8</v>
      </c>
      <c r="AI28" s="8">
        <v>0.7</v>
      </c>
      <c r="AJ28" s="8">
        <v>0.72346103560837949</v>
      </c>
      <c r="AK28" s="8">
        <f t="shared" si="37"/>
        <v>0.89312403845925314</v>
      </c>
      <c r="AL28" s="95">
        <f t="shared" si="38"/>
        <v>0.52099315617602471</v>
      </c>
      <c r="AM28" s="8">
        <f t="shared" si="39"/>
        <v>0.4472314610688099</v>
      </c>
      <c r="AR28" s="12">
        <v>5</v>
      </c>
      <c r="AS28" s="8">
        <f t="shared" si="35"/>
        <v>0.41715948927060892</v>
      </c>
      <c r="AT28" s="8">
        <f t="shared" si="24"/>
        <v>0.3306373655409276</v>
      </c>
      <c r="AU28" s="96">
        <f t="shared" si="25"/>
        <v>0.35074876890704926</v>
      </c>
      <c r="AV28" s="8">
        <f t="shared" si="26"/>
        <v>0.41912499999999991</v>
      </c>
      <c r="AW28" s="8">
        <f t="shared" si="27"/>
        <v>0</v>
      </c>
      <c r="AX28" s="8">
        <f t="shared" si="28"/>
        <v>0.41912499999999991</v>
      </c>
      <c r="AY28" s="8">
        <f t="shared" si="29"/>
        <v>0.38542951895624922</v>
      </c>
      <c r="AZ28" s="8">
        <f t="shared" si="30"/>
        <v>0.41912499999999991</v>
      </c>
      <c r="BA28" s="8">
        <f t="shared" si="31"/>
        <v>0.38230926175022234</v>
      </c>
      <c r="BB28" s="8">
        <f t="shared" si="32"/>
        <v>0.4168969604088662</v>
      </c>
      <c r="BD28" s="12">
        <v>5</v>
      </c>
      <c r="BE28" s="8">
        <f t="shared" si="33"/>
        <v>0.41715948927060892</v>
      </c>
      <c r="BH28" s="12">
        <v>5</v>
      </c>
      <c r="BI28" s="8">
        <v>3.9699999999999999E-2</v>
      </c>
      <c r="BJ28" s="8">
        <f t="shared" si="34"/>
        <v>8.7340000000000001E-2</v>
      </c>
      <c r="BK28" s="8">
        <f t="shared" si="36"/>
        <v>-3.9699999999999999E-2</v>
      </c>
    </row>
    <row r="29" spans="1:63">
      <c r="A29" s="8">
        <v>25</v>
      </c>
      <c r="B29" s="3">
        <v>44301</v>
      </c>
      <c r="C29" s="4">
        <v>0.90038194444444397</v>
      </c>
      <c r="D29" s="5">
        <v>-7.52</v>
      </c>
      <c r="E29" s="5">
        <v>106.409999999999</v>
      </c>
      <c r="F29" s="6">
        <v>67</v>
      </c>
      <c r="G29" s="7">
        <v>4.3</v>
      </c>
      <c r="J29" s="8">
        <v>9</v>
      </c>
      <c r="K29" s="8">
        <f t="shared" si="19"/>
        <v>0.95971189092388853</v>
      </c>
      <c r="L29" s="8">
        <f t="shared" si="20"/>
        <v>0.11996398636548611</v>
      </c>
      <c r="M29" s="8">
        <f t="shared" si="21"/>
        <v>0.89972989774114542</v>
      </c>
      <c r="N29" s="8">
        <f t="shared" si="22"/>
        <v>1.0196938841066316</v>
      </c>
      <c r="W29" s="55">
        <v>2.7</v>
      </c>
      <c r="X29" s="43">
        <v>2.8</v>
      </c>
      <c r="Y29" s="28">
        <v>0.40224370722180075</v>
      </c>
      <c r="Z29" s="49">
        <f t="shared" si="2"/>
        <v>9.9999999999999291E-3</v>
      </c>
      <c r="AA29" s="59">
        <f t="shared" si="23"/>
        <v>4.9999999999999643E-4</v>
      </c>
      <c r="AH29">
        <v>1</v>
      </c>
      <c r="AI29" s="8">
        <v>0.9</v>
      </c>
      <c r="AJ29" s="8">
        <v>0.94610597294412391</v>
      </c>
      <c r="AK29" s="8">
        <f t="shared" si="37"/>
        <v>0.94610597294412391</v>
      </c>
      <c r="AL29" s="95">
        <f t="shared" si="38"/>
        <v>0.59805303632847584</v>
      </c>
      <c r="AM29" s="8">
        <f t="shared" si="39"/>
        <v>0.59805303632847584</v>
      </c>
      <c r="AR29" s="12">
        <v>6</v>
      </c>
      <c r="AS29" s="8">
        <f t="shared" si="35"/>
        <v>0.41912499999999991</v>
      </c>
      <c r="AT29" s="8">
        <f t="shared" si="24"/>
        <v>0.41912499999999991</v>
      </c>
      <c r="AU29" s="8">
        <f t="shared" si="25"/>
        <v>0.41912499999999991</v>
      </c>
      <c r="AV29" s="96">
        <f t="shared" si="26"/>
        <v>2.9274836975789299E-2</v>
      </c>
      <c r="AW29" s="8">
        <f t="shared" si="27"/>
        <v>0.41912499999999991</v>
      </c>
      <c r="AX29" s="8">
        <f t="shared" si="28"/>
        <v>0</v>
      </c>
      <c r="AY29" s="8">
        <f t="shared" si="29"/>
        <v>0.41912499999999991</v>
      </c>
      <c r="AZ29" s="8">
        <f t="shared" si="30"/>
        <v>0.41912499999999991</v>
      </c>
      <c r="BA29" s="8">
        <f t="shared" si="31"/>
        <v>0.41912499999999991</v>
      </c>
      <c r="BB29" s="8">
        <f t="shared" si="32"/>
        <v>0.41912499999999991</v>
      </c>
      <c r="BD29" s="12">
        <v>6</v>
      </c>
      <c r="BE29" s="8">
        <f t="shared" si="33"/>
        <v>0.41912499999999991</v>
      </c>
      <c r="BH29" s="12">
        <v>6</v>
      </c>
      <c r="BI29" s="8">
        <v>2.5100000000000001E-2</v>
      </c>
      <c r="BJ29" s="8">
        <f t="shared" si="34"/>
        <v>9.036000000000001E-2</v>
      </c>
      <c r="BK29" s="8">
        <f t="shared" si="36"/>
        <v>1.0039999999999999E-2</v>
      </c>
    </row>
    <row r="30" spans="1:63">
      <c r="A30" s="8">
        <v>26</v>
      </c>
      <c r="B30" s="3">
        <v>44301</v>
      </c>
      <c r="C30" s="4">
        <v>0.52009259259259299</v>
      </c>
      <c r="D30" s="5">
        <v>-7.35</v>
      </c>
      <c r="E30" s="5">
        <v>107.319999999999</v>
      </c>
      <c r="F30" s="6">
        <v>129</v>
      </c>
      <c r="G30" s="7">
        <v>2.6</v>
      </c>
      <c r="J30" s="8">
        <v>10</v>
      </c>
      <c r="K30" s="8">
        <f t="shared" si="19"/>
        <v>1.0796758772893746</v>
      </c>
      <c r="L30" s="8">
        <f t="shared" si="20"/>
        <v>0.11996398636548611</v>
      </c>
      <c r="M30" s="8">
        <f t="shared" si="21"/>
        <v>1.0196938841066316</v>
      </c>
      <c r="N30" s="8">
        <f t="shared" si="22"/>
        <v>1.1396578704721176</v>
      </c>
      <c r="W30" s="55">
        <v>3.1</v>
      </c>
      <c r="X30" s="43">
        <v>3.5</v>
      </c>
      <c r="Y30" s="28">
        <v>0.40521599178709572</v>
      </c>
      <c r="Z30" s="49">
        <f t="shared" si="2"/>
        <v>0.15999999999999992</v>
      </c>
      <c r="AA30" s="59">
        <f t="shared" si="23"/>
        <v>7.9999999999999967E-3</v>
      </c>
      <c r="AH30">
        <v>1.2</v>
      </c>
      <c r="AI30" s="8">
        <v>1.1000000000000001</v>
      </c>
      <c r="AJ30" s="8">
        <v>1.067704802971291</v>
      </c>
      <c r="AK30" s="8">
        <f>AJ32</f>
        <v>0.94610597294412391</v>
      </c>
      <c r="AL30" s="95">
        <f t="shared" si="38"/>
        <v>0.66114433003779127</v>
      </c>
      <c r="AM30" s="8">
        <f t="shared" si="39"/>
        <v>0.72194720529870449</v>
      </c>
      <c r="AR30" s="12">
        <v>7</v>
      </c>
      <c r="AS30" s="8">
        <f t="shared" si="35"/>
        <v>0.1734284471980605</v>
      </c>
      <c r="AT30" s="8">
        <f t="shared" si="24"/>
        <v>0.41637715109473433</v>
      </c>
      <c r="AU30" s="8">
        <f t="shared" si="25"/>
        <v>0.41912499999999991</v>
      </c>
      <c r="AV30" s="8">
        <f t="shared" si="26"/>
        <v>0.41912499999999991</v>
      </c>
      <c r="AW30" s="8">
        <f t="shared" si="27"/>
        <v>0.38542951895624922</v>
      </c>
      <c r="AX30" s="8">
        <f t="shared" si="28"/>
        <v>0.41912499999999991</v>
      </c>
      <c r="AY30" s="8">
        <f t="shared" si="29"/>
        <v>0</v>
      </c>
      <c r="AZ30" s="8">
        <f t="shared" si="30"/>
        <v>0.40470273874533896</v>
      </c>
      <c r="BA30" s="8">
        <f t="shared" si="31"/>
        <v>8.2259679253678233E-2</v>
      </c>
      <c r="BB30" s="8">
        <f t="shared" si="32"/>
        <v>0.24050352034077951</v>
      </c>
      <c r="BD30" s="12">
        <v>7</v>
      </c>
      <c r="BE30" s="8">
        <f t="shared" si="33"/>
        <v>0.1734284471980605</v>
      </c>
      <c r="BH30" s="12">
        <v>7</v>
      </c>
      <c r="BI30" s="8">
        <v>0.89529999999999998</v>
      </c>
      <c r="BJ30" s="8">
        <f t="shared" si="34"/>
        <v>2.7754300000000001</v>
      </c>
      <c r="BK30" s="8">
        <f t="shared" si="36"/>
        <v>-8.9530000000000082E-2</v>
      </c>
    </row>
    <row r="31" spans="1:63">
      <c r="A31" s="8">
        <v>27</v>
      </c>
      <c r="B31" s="3">
        <v>44306</v>
      </c>
      <c r="C31" s="4">
        <v>0.15539351851851901</v>
      </c>
      <c r="D31" s="5">
        <v>-7.1</v>
      </c>
      <c r="E31" s="5">
        <v>107.28</v>
      </c>
      <c r="F31" s="6">
        <v>185</v>
      </c>
      <c r="G31" s="7">
        <v>2.2999999999999998</v>
      </c>
      <c r="W31" s="56">
        <v>3.5</v>
      </c>
      <c r="X31" s="47">
        <v>4.5</v>
      </c>
      <c r="Y31" s="29">
        <v>0.4152926678865656</v>
      </c>
      <c r="Z31" s="50">
        <f t="shared" si="2"/>
        <v>1</v>
      </c>
      <c r="AA31" s="59">
        <f t="shared" si="23"/>
        <v>0.05</v>
      </c>
      <c r="AI31" s="21" t="s">
        <v>48</v>
      </c>
      <c r="AJ31" s="36">
        <v>0</v>
      </c>
      <c r="AK31" s="8">
        <v>0</v>
      </c>
      <c r="AL31" s="95">
        <v>0</v>
      </c>
      <c r="AM31" s="8">
        <v>0</v>
      </c>
      <c r="AR31" s="12">
        <v>8</v>
      </c>
      <c r="AS31" s="8">
        <f t="shared" si="35"/>
        <v>0.3698461727330043</v>
      </c>
      <c r="AT31" s="8">
        <f t="shared" si="24"/>
        <v>0.41912499999999991</v>
      </c>
      <c r="AU31" s="8">
        <f t="shared" si="25"/>
        <v>0.41912499999999991</v>
      </c>
      <c r="AV31" s="8">
        <f t="shared" si="26"/>
        <v>0.41912499999999991</v>
      </c>
      <c r="AW31" s="8">
        <f t="shared" si="27"/>
        <v>0.41912499999999991</v>
      </c>
      <c r="AX31" s="8">
        <f t="shared" si="28"/>
        <v>0.41912499999999991</v>
      </c>
      <c r="AY31" s="8">
        <f t="shared" si="29"/>
        <v>0.40470273874533896</v>
      </c>
      <c r="AZ31" s="8">
        <f t="shared" si="30"/>
        <v>0</v>
      </c>
      <c r="BA31" s="8">
        <f t="shared" si="31"/>
        <v>0.40825433262551769</v>
      </c>
      <c r="BB31" s="8">
        <f t="shared" si="32"/>
        <v>0.39799710899934382</v>
      </c>
      <c r="BD31" s="12">
        <v>8</v>
      </c>
      <c r="BE31" s="8">
        <f t="shared" si="33"/>
        <v>0.3698461727330043</v>
      </c>
      <c r="BH31" s="12">
        <v>8</v>
      </c>
      <c r="BI31" s="8">
        <v>4.6800000000000001E-2</v>
      </c>
      <c r="BJ31" s="8">
        <f t="shared" si="34"/>
        <v>0.1638</v>
      </c>
      <c r="BK31" s="8">
        <f t="shared" si="36"/>
        <v>1.4039999999999992E-2</v>
      </c>
    </row>
    <row r="32" spans="1:63">
      <c r="A32" s="8">
        <v>28</v>
      </c>
      <c r="B32" s="3">
        <v>44307</v>
      </c>
      <c r="C32" s="4">
        <v>0.83523148148148196</v>
      </c>
      <c r="D32" s="5">
        <v>-7.63</v>
      </c>
      <c r="E32" s="5">
        <v>106.68</v>
      </c>
      <c r="F32" s="6">
        <v>25</v>
      </c>
      <c r="G32" s="7">
        <v>3.9</v>
      </c>
      <c r="V32" s="9" t="s">
        <v>30</v>
      </c>
      <c r="W32" s="54">
        <v>2.7</v>
      </c>
      <c r="X32" s="60">
        <v>3.1</v>
      </c>
      <c r="Y32" s="33">
        <v>0.44777226354476307</v>
      </c>
      <c r="Z32" s="52">
        <f t="shared" si="2"/>
        <v>0.15999999999999992</v>
      </c>
      <c r="AA32" s="59">
        <f>Z32/8</f>
        <v>1.999999999999999E-2</v>
      </c>
      <c r="AI32" s="21" t="s">
        <v>47</v>
      </c>
      <c r="AJ32" s="8">
        <f>AJ29</f>
        <v>0.94610597294412391</v>
      </c>
      <c r="AK32" s="8">
        <f>AK29</f>
        <v>0.94610597294412391</v>
      </c>
      <c r="AL32" s="95">
        <f>AL29</f>
        <v>0.59805303632847584</v>
      </c>
      <c r="AM32" s="8">
        <f>AM29</f>
        <v>0.59805303632847584</v>
      </c>
      <c r="AR32" s="12">
        <v>9</v>
      </c>
      <c r="AS32" s="8">
        <f t="shared" si="35"/>
        <v>0.12866719689168257</v>
      </c>
      <c r="AT32" s="8">
        <f t="shared" si="24"/>
        <v>0.40337472180099726</v>
      </c>
      <c r="AU32" s="8">
        <f t="shared" si="25"/>
        <v>0.41912499999999991</v>
      </c>
      <c r="AV32" s="8">
        <f t="shared" si="26"/>
        <v>0.41912499999999991</v>
      </c>
      <c r="AW32" s="8">
        <f t="shared" si="27"/>
        <v>0.38230926175022234</v>
      </c>
      <c r="AX32" s="8">
        <f t="shared" si="28"/>
        <v>0.41912499999999991</v>
      </c>
      <c r="AY32" s="8">
        <f t="shared" si="29"/>
        <v>8.2259679253678233E-2</v>
      </c>
      <c r="AZ32" s="8">
        <f t="shared" si="30"/>
        <v>0.40825433262551769</v>
      </c>
      <c r="BA32" s="8">
        <f t="shared" si="31"/>
        <v>0</v>
      </c>
      <c r="BB32" s="8">
        <f t="shared" si="32"/>
        <v>0.17652976285561961</v>
      </c>
      <c r="BD32" s="12">
        <v>9</v>
      </c>
      <c r="BE32" s="8">
        <f t="shared" si="33"/>
        <v>0.12866719689168257</v>
      </c>
      <c r="BH32" s="12">
        <v>9</v>
      </c>
      <c r="BI32" s="8">
        <v>-3.8899999999999997E-2</v>
      </c>
      <c r="BJ32" s="8">
        <f t="shared" si="34"/>
        <v>-0.17504999999999998</v>
      </c>
      <c r="BK32" s="8">
        <f t="shared" si="36"/>
        <v>-5.056999999999999E-2</v>
      </c>
    </row>
    <row r="33" spans="1:63">
      <c r="A33" s="8">
        <v>29</v>
      </c>
      <c r="B33" s="3">
        <v>44308</v>
      </c>
      <c r="C33" s="4">
        <v>0.100532407407407</v>
      </c>
      <c r="D33" s="5">
        <v>-7.09</v>
      </c>
      <c r="E33" s="5">
        <v>106.78</v>
      </c>
      <c r="F33" s="6">
        <v>129</v>
      </c>
      <c r="G33" s="7">
        <v>3.2</v>
      </c>
      <c r="J33" s="139" t="s">
        <v>69</v>
      </c>
      <c r="K33" s="146"/>
      <c r="W33" s="55">
        <v>2.2000000000000002</v>
      </c>
      <c r="X33" s="43">
        <v>2.8</v>
      </c>
      <c r="Y33" s="28">
        <v>0.45099889135118748</v>
      </c>
      <c r="Z33" s="49">
        <f t="shared" si="2"/>
        <v>0.3599999999999996</v>
      </c>
      <c r="AA33" s="59">
        <f t="shared" ref="AA33:AA35" si="40">Z33/8</f>
        <v>4.499999999999995E-2</v>
      </c>
      <c r="AI33" s="21" t="s">
        <v>49</v>
      </c>
      <c r="AJ33" s="8">
        <v>1</v>
      </c>
      <c r="AK33" s="8">
        <v>1</v>
      </c>
      <c r="AL33" s="95">
        <v>1</v>
      </c>
      <c r="AM33" s="8">
        <v>1</v>
      </c>
      <c r="AR33" s="12">
        <v>10</v>
      </c>
      <c r="AS33" s="8">
        <f t="shared" si="35"/>
        <v>0.10384163493030614</v>
      </c>
      <c r="AT33" s="8">
        <f t="shared" si="24"/>
        <v>0.40356518977592598</v>
      </c>
      <c r="AU33" s="8">
        <f t="shared" si="25"/>
        <v>0.41912499999999991</v>
      </c>
      <c r="AV33" s="8">
        <f t="shared" si="26"/>
        <v>0.41912499999999991</v>
      </c>
      <c r="AW33" s="8">
        <f t="shared" si="27"/>
        <v>0.4168969604088662</v>
      </c>
      <c r="AX33" s="8">
        <f t="shared" si="28"/>
        <v>0.41912499999999991</v>
      </c>
      <c r="AY33" s="8">
        <f t="shared" si="29"/>
        <v>0.24050352034077951</v>
      </c>
      <c r="AZ33" s="8">
        <f t="shared" si="30"/>
        <v>0.39799710899934382</v>
      </c>
      <c r="BA33" s="8">
        <f t="shared" si="31"/>
        <v>0.17652976285561961</v>
      </c>
      <c r="BB33" s="8">
        <f t="shared" si="32"/>
        <v>0</v>
      </c>
      <c r="BD33" s="12">
        <v>10</v>
      </c>
      <c r="BE33" s="8">
        <f t="shared" si="33"/>
        <v>0.10384163493030614</v>
      </c>
      <c r="BH33" s="12">
        <v>10</v>
      </c>
      <c r="BI33" s="8">
        <v>-3.56E-2</v>
      </c>
      <c r="BJ33" s="8">
        <f t="shared" si="34"/>
        <v>-9.9679999999999991E-2</v>
      </c>
      <c r="BK33" s="8">
        <f t="shared" si="36"/>
        <v>1.4240000000000013E-2</v>
      </c>
    </row>
    <row r="34" spans="1:63">
      <c r="A34" s="8">
        <v>30</v>
      </c>
      <c r="B34" s="3">
        <v>44310</v>
      </c>
      <c r="C34" s="4">
        <v>0.763969907407407</v>
      </c>
      <c r="D34" s="5">
        <v>-7.31</v>
      </c>
      <c r="E34" s="5">
        <v>108.62</v>
      </c>
      <c r="F34" s="6">
        <v>10</v>
      </c>
      <c r="G34" s="7">
        <v>2.2000000000000002</v>
      </c>
      <c r="J34" s="97" t="s">
        <v>71</v>
      </c>
      <c r="W34" s="78">
        <v>3.2</v>
      </c>
      <c r="X34" s="81">
        <v>2.7</v>
      </c>
      <c r="Y34" s="28">
        <v>0.45276925690687242</v>
      </c>
      <c r="Z34" s="49">
        <f t="shared" si="2"/>
        <v>0.25</v>
      </c>
      <c r="AA34" s="59">
        <f t="shared" si="40"/>
        <v>3.125E-2</v>
      </c>
      <c r="BH34" s="69" t="s">
        <v>64</v>
      </c>
      <c r="BI34" s="8">
        <f>SUM(BI24:BI33)</f>
        <v>1.0482</v>
      </c>
      <c r="BJ34" s="8">
        <f>SUM(BJ24:BJ33)</f>
        <v>3.1920600000000006</v>
      </c>
      <c r="BK34" s="53">
        <f>N15+SUM(BK24:BK33)</f>
        <v>3.03782</v>
      </c>
    </row>
    <row r="35" spans="1:63" ht="15.75">
      <c r="A35" s="8">
        <v>31</v>
      </c>
      <c r="B35" s="3">
        <v>44310</v>
      </c>
      <c r="C35" s="4">
        <v>0.93601851851851903</v>
      </c>
      <c r="D35" s="5">
        <v>-7.27</v>
      </c>
      <c r="E35" s="5">
        <v>107.719999999999</v>
      </c>
      <c r="F35" s="6">
        <v>10</v>
      </c>
      <c r="G35" s="7">
        <v>2.9</v>
      </c>
      <c r="J35" t="s">
        <v>70</v>
      </c>
      <c r="W35" s="79">
        <v>3.2</v>
      </c>
      <c r="X35" s="82">
        <v>2.2000000000000002</v>
      </c>
      <c r="Y35" s="29">
        <v>0.45276925690698211</v>
      </c>
      <c r="Z35" s="57">
        <f t="shared" si="2"/>
        <v>1</v>
      </c>
      <c r="AA35" s="59">
        <f t="shared" si="40"/>
        <v>0.125</v>
      </c>
      <c r="AS35" s="88" t="s">
        <v>67</v>
      </c>
    </row>
    <row r="36" spans="1:63">
      <c r="A36" s="8">
        <v>32</v>
      </c>
      <c r="B36" s="3">
        <v>44313</v>
      </c>
      <c r="C36" s="4">
        <v>0.61944444444444402</v>
      </c>
      <c r="D36" s="5">
        <v>-6.8</v>
      </c>
      <c r="E36" s="5">
        <v>107.129999999999</v>
      </c>
      <c r="F36" s="6">
        <v>10</v>
      </c>
      <c r="G36" s="7">
        <v>3.2</v>
      </c>
      <c r="V36" s="9" t="s">
        <v>33</v>
      </c>
      <c r="W36" s="77">
        <v>3.2</v>
      </c>
      <c r="X36" s="85">
        <v>2.8</v>
      </c>
      <c r="Y36" s="33">
        <v>0.58821764679328947</v>
      </c>
      <c r="Z36" s="52">
        <f t="shared" ref="Z36:Z58" si="41">(W36-X36)^2</f>
        <v>0.16000000000000028</v>
      </c>
      <c r="AA36" s="59">
        <f>Z36/10</f>
        <v>1.6000000000000028E-2</v>
      </c>
      <c r="AR36" s="64"/>
    </row>
    <row r="37" spans="1:63">
      <c r="A37" s="8">
        <v>33</v>
      </c>
      <c r="B37" s="3">
        <v>44313</v>
      </c>
      <c r="C37" s="4">
        <v>0.241458333333333</v>
      </c>
      <c r="D37" s="5">
        <v>-6.95</v>
      </c>
      <c r="E37" s="5">
        <v>106.989999999999</v>
      </c>
      <c r="F37" s="6">
        <v>10</v>
      </c>
      <c r="G37" s="7">
        <v>3</v>
      </c>
      <c r="J37" s="97" t="s">
        <v>73</v>
      </c>
      <c r="W37" s="55">
        <v>3.6</v>
      </c>
      <c r="X37" s="43">
        <v>2.8</v>
      </c>
      <c r="Y37" s="28">
        <v>0.59203040462462664</v>
      </c>
      <c r="Z37" s="49">
        <f t="shared" si="41"/>
        <v>0.64000000000000046</v>
      </c>
      <c r="AA37" s="59">
        <f t="shared" ref="AA37:AA40" si="42">Z37/10</f>
        <v>6.4000000000000043E-2</v>
      </c>
    </row>
    <row r="38" spans="1:63">
      <c r="A38" s="8">
        <v>34</v>
      </c>
      <c r="B38" s="3">
        <v>44315</v>
      </c>
      <c r="C38" s="4">
        <v>0.73792824074074104</v>
      </c>
      <c r="D38" s="5">
        <v>-7.69</v>
      </c>
      <c r="E38" s="5">
        <v>106.95</v>
      </c>
      <c r="F38" s="6">
        <v>26</v>
      </c>
      <c r="G38" s="7">
        <v>2.4</v>
      </c>
      <c r="J38" t="s">
        <v>72</v>
      </c>
      <c r="W38" s="72">
        <v>3.2</v>
      </c>
      <c r="X38" s="75">
        <v>4.5</v>
      </c>
      <c r="Y38" s="28">
        <v>0.64498682157037124</v>
      </c>
      <c r="Z38" s="49">
        <f t="shared" si="41"/>
        <v>1.6899999999999995</v>
      </c>
      <c r="AA38" s="59">
        <f t="shared" si="42"/>
        <v>0.16899999999999996</v>
      </c>
      <c r="AR38" s="143" t="s">
        <v>66</v>
      </c>
      <c r="AS38" s="143"/>
      <c r="AT38" s="143"/>
      <c r="AU38" s="147" t="s">
        <v>94</v>
      </c>
      <c r="AV38" s="145"/>
      <c r="AW38" s="145"/>
    </row>
    <row r="39" spans="1:63">
      <c r="A39" s="8">
        <v>35</v>
      </c>
      <c r="B39" s="3">
        <v>44315</v>
      </c>
      <c r="C39" s="4">
        <v>1.26967592592593E-2</v>
      </c>
      <c r="D39" s="5">
        <v>-7</v>
      </c>
      <c r="E39" s="5">
        <v>107.68</v>
      </c>
      <c r="F39" s="6">
        <v>142</v>
      </c>
      <c r="G39" s="7">
        <v>3</v>
      </c>
      <c r="W39" s="78">
        <v>3.2</v>
      </c>
      <c r="X39" s="81">
        <v>3.2</v>
      </c>
      <c r="Y39" s="28">
        <v>0.65513357416636986</v>
      </c>
      <c r="Z39" s="49">
        <f t="shared" si="41"/>
        <v>0</v>
      </c>
      <c r="AA39" s="59">
        <f t="shared" si="42"/>
        <v>0</v>
      </c>
      <c r="AR39" s="143"/>
      <c r="AS39" s="143"/>
      <c r="AT39" s="143"/>
      <c r="AU39" s="145"/>
      <c r="AV39" s="145"/>
      <c r="AW39" s="145"/>
    </row>
    <row r="40" spans="1:63">
      <c r="A40" s="8">
        <v>36</v>
      </c>
      <c r="B40" s="3">
        <v>44315</v>
      </c>
      <c r="C40" s="4">
        <v>0.37664351851851902</v>
      </c>
      <c r="D40" s="5">
        <v>-6.9</v>
      </c>
      <c r="E40" s="5">
        <v>106.39</v>
      </c>
      <c r="F40" s="6">
        <v>15</v>
      </c>
      <c r="G40" s="7">
        <v>2.9</v>
      </c>
      <c r="J40" s="97" t="s">
        <v>74</v>
      </c>
      <c r="W40" s="79">
        <v>3.2</v>
      </c>
      <c r="X40" s="82">
        <v>3.6</v>
      </c>
      <c r="Y40" s="29">
        <v>0.65734313718263382</v>
      </c>
      <c r="Z40" s="50">
        <f t="shared" si="41"/>
        <v>0.15999999999999992</v>
      </c>
      <c r="AA40" s="59">
        <f t="shared" si="42"/>
        <v>1.5999999999999993E-2</v>
      </c>
      <c r="AR40" s="69" t="s">
        <v>57</v>
      </c>
      <c r="AS40" s="12">
        <v>1</v>
      </c>
      <c r="AT40" s="12">
        <v>2</v>
      </c>
      <c r="AU40" s="12">
        <v>3</v>
      </c>
      <c r="AV40" s="12">
        <v>4</v>
      </c>
      <c r="AW40" s="12">
        <v>5</v>
      </c>
      <c r="AX40" s="12">
        <v>6</v>
      </c>
      <c r="AY40" s="12">
        <v>7</v>
      </c>
      <c r="AZ40" s="12">
        <v>8</v>
      </c>
      <c r="BA40" s="12">
        <v>9</v>
      </c>
      <c r="BB40" s="12">
        <v>10</v>
      </c>
      <c r="BD40" s="69" t="s">
        <v>59</v>
      </c>
      <c r="BE40" s="12">
        <v>11</v>
      </c>
      <c r="BH40" s="141" t="s">
        <v>61</v>
      </c>
      <c r="BI40" s="142"/>
      <c r="BJ40" s="113" t="s">
        <v>81</v>
      </c>
      <c r="BK40" s="113" t="s">
        <v>82</v>
      </c>
    </row>
    <row r="41" spans="1:63">
      <c r="A41" s="8">
        <v>37</v>
      </c>
      <c r="B41" s="3">
        <v>44316</v>
      </c>
      <c r="C41" s="4">
        <v>0.580740740740741</v>
      </c>
      <c r="D41" s="5">
        <v>-7.82</v>
      </c>
      <c r="E41" s="5">
        <v>107.019999999999</v>
      </c>
      <c r="F41" s="6">
        <v>21</v>
      </c>
      <c r="G41" s="7">
        <v>3.3</v>
      </c>
      <c r="J41" t="s">
        <v>75</v>
      </c>
      <c r="V41" s="9" t="s">
        <v>32</v>
      </c>
      <c r="W41" s="70">
        <v>3.2</v>
      </c>
      <c r="X41" s="83">
        <v>3.1</v>
      </c>
      <c r="Y41" s="33">
        <v>0.66370174024180661</v>
      </c>
      <c r="Z41" s="52">
        <f t="shared" si="41"/>
        <v>1.0000000000000018E-2</v>
      </c>
      <c r="AA41" s="59">
        <f>Z41/20</f>
        <v>5.0000000000000088E-4</v>
      </c>
      <c r="AR41" s="12">
        <v>1</v>
      </c>
      <c r="AS41" s="8">
        <f>$AJ$32*(1-EXP(-(K4/$AJ$33)))</f>
        <v>0</v>
      </c>
      <c r="AT41" s="8">
        <f t="shared" ref="AT41:AT50" si="43">$AJ$32*(1-EXP(-(L4/$AJ$33)))</f>
        <v>0.3445104516138347</v>
      </c>
      <c r="AU41" s="8">
        <f t="shared" ref="AU41:AU50" si="44">$AJ$32*(1-EXP(-(M4/$AJ$33)))</f>
        <v>0.48926123283582945</v>
      </c>
      <c r="AV41" s="8">
        <f t="shared" ref="AV41:AW50" si="45">$AJ$32*(1-EXP(-(N4/$AJ$33)))</f>
        <v>0.45472437520321457</v>
      </c>
      <c r="AW41" s="8">
        <f t="shared" si="45"/>
        <v>0.34451045161390065</v>
      </c>
      <c r="AX41" s="8">
        <f t="shared" ref="AX41:AY50" si="46">$AJ$32*(1-EXP(-(P4/$AJ$33)))</f>
        <v>0.45580891518749389</v>
      </c>
      <c r="AY41" s="8">
        <f t="shared" si="46"/>
        <v>0.12031648830206523</v>
      </c>
      <c r="AZ41" s="8">
        <f t="shared" ref="AZ41:BA50" si="47">$AJ$32*(1-EXP(-(R4/$AJ$33)))</f>
        <v>0.27160298965373769</v>
      </c>
      <c r="BA41" s="8">
        <f t="shared" si="47"/>
        <v>8.9725088824379282E-2</v>
      </c>
      <c r="BB41" s="8">
        <f t="shared" ref="BB41:BB50" si="48">$AJ$32*(1-EXP(-(T4/$AJ$33)))</f>
        <v>7.2740083906250683E-2</v>
      </c>
      <c r="BD41" s="12">
        <v>1</v>
      </c>
      <c r="BE41" s="8">
        <f>$AJ$32*(1-EXP(-(U4/$AJ$33)))</f>
        <v>0.15888670514524147</v>
      </c>
      <c r="BH41" s="12">
        <v>1</v>
      </c>
      <c r="BI41" s="8">
        <v>9.2999999999999999E-2</v>
      </c>
      <c r="BJ41" s="8">
        <f>BI41*G5</f>
        <v>0.29760000000000003</v>
      </c>
      <c r="BK41" s="8">
        <f>BI41*(G5-$N$15)</f>
        <v>0</v>
      </c>
    </row>
    <row r="42" spans="1:63">
      <c r="A42" s="8">
        <v>38</v>
      </c>
      <c r="B42" s="3">
        <v>44316</v>
      </c>
      <c r="C42" s="4">
        <v>0.72763888888888895</v>
      </c>
      <c r="D42" s="5">
        <v>-7.56</v>
      </c>
      <c r="E42" s="5">
        <v>106.439999999999</v>
      </c>
      <c r="F42" s="6">
        <v>33</v>
      </c>
      <c r="G42" s="7">
        <v>3.3</v>
      </c>
      <c r="W42" s="72">
        <v>3.2</v>
      </c>
      <c r="X42" s="75">
        <v>2.8</v>
      </c>
      <c r="Y42" s="28">
        <v>0.70342021580250225</v>
      </c>
      <c r="Z42" s="49">
        <f t="shared" si="41"/>
        <v>0.16000000000000028</v>
      </c>
      <c r="AA42" s="59">
        <f t="shared" ref="AA42:AA50" si="49">Z42/20</f>
        <v>8.000000000000014E-3</v>
      </c>
      <c r="AR42" s="12">
        <v>2</v>
      </c>
      <c r="AS42" s="8">
        <f t="shared" ref="AS42:AS50" si="50">$AJ$32*(1-EXP(-(K5/$AJ$33)))</f>
        <v>0.3445104516138347</v>
      </c>
      <c r="AT42" s="8">
        <f t="shared" si="43"/>
        <v>0</v>
      </c>
      <c r="AU42" s="8">
        <f t="shared" si="44"/>
        <v>0.28176123770638256</v>
      </c>
      <c r="AV42" s="8">
        <f t="shared" si="45"/>
        <v>0.48333502548382712</v>
      </c>
      <c r="AW42" s="8">
        <f t="shared" si="45"/>
        <v>0.23558521459063739</v>
      </c>
      <c r="AX42" s="8">
        <f t="shared" si="46"/>
        <v>0.49041866540944118</v>
      </c>
      <c r="AY42" s="8">
        <f t="shared" si="46"/>
        <v>0.34149675935794777</v>
      </c>
      <c r="AZ42" s="8">
        <f t="shared" si="47"/>
        <v>0.51617639482949551</v>
      </c>
      <c r="BA42" s="8">
        <f t="shared" si="47"/>
        <v>0.31302493247021823</v>
      </c>
      <c r="BB42" s="8">
        <f t="shared" si="48"/>
        <v>0.31333352367023759</v>
      </c>
      <c r="BD42" s="12">
        <v>2</v>
      </c>
      <c r="BE42" s="8">
        <f t="shared" ref="BE42:BE50" si="51">$AJ$32*(1-EXP(-(U5/$AJ$33)))</f>
        <v>0.36261280321094019</v>
      </c>
      <c r="BH42" s="12">
        <v>2</v>
      </c>
      <c r="BI42" s="8">
        <v>-0.18840000000000001</v>
      </c>
      <c r="BJ42" s="8">
        <f t="shared" ref="BJ42:BJ50" si="52">BI42*G6</f>
        <v>-0.50868000000000002</v>
      </c>
      <c r="BK42" s="8">
        <f t="shared" ref="BK42:BK50" si="53">BI42*(G6-$N$15)</f>
        <v>9.4200000000000006E-2</v>
      </c>
    </row>
    <row r="43" spans="1:63">
      <c r="A43" s="8">
        <v>39</v>
      </c>
      <c r="B43" s="3">
        <v>44316</v>
      </c>
      <c r="C43" s="4">
        <v>0.156516203703704</v>
      </c>
      <c r="D43" s="5">
        <v>-7.14</v>
      </c>
      <c r="E43" s="5">
        <v>108.849999999999</v>
      </c>
      <c r="F43" s="6">
        <v>10</v>
      </c>
      <c r="G43" s="7">
        <v>3.2</v>
      </c>
      <c r="W43" s="55">
        <v>2.7</v>
      </c>
      <c r="X43" s="43">
        <v>3.2</v>
      </c>
      <c r="Y43" s="28">
        <v>0.71512236715124489</v>
      </c>
      <c r="Z43" s="49">
        <f t="shared" si="41"/>
        <v>0.25</v>
      </c>
      <c r="AA43" s="59">
        <f t="shared" si="49"/>
        <v>1.2500000000000001E-2</v>
      </c>
      <c r="AR43" s="12">
        <v>3</v>
      </c>
      <c r="AS43" s="8">
        <f t="shared" si="50"/>
        <v>0.48926123283582945</v>
      </c>
      <c r="AT43" s="8">
        <f t="shared" si="43"/>
        <v>0.28176123770638256</v>
      </c>
      <c r="AU43" s="8">
        <f t="shared" si="44"/>
        <v>0</v>
      </c>
      <c r="AV43" s="8">
        <f t="shared" si="45"/>
        <v>0.61937017854475618</v>
      </c>
      <c r="AW43" s="8">
        <f t="shared" si="45"/>
        <v>0.25319165316059195</v>
      </c>
      <c r="AX43" s="8">
        <f t="shared" si="46"/>
        <v>0.62470846239450928</v>
      </c>
      <c r="AY43" s="8">
        <f t="shared" si="46"/>
        <v>0.45891662872955835</v>
      </c>
      <c r="AZ43" s="8">
        <f t="shared" si="47"/>
        <v>0.61839935124373679</v>
      </c>
      <c r="BA43" s="8">
        <f t="shared" si="47"/>
        <v>0.44971306644114623</v>
      </c>
      <c r="BB43" s="8">
        <f t="shared" si="48"/>
        <v>0.47788779984938168</v>
      </c>
      <c r="BD43" s="12">
        <v>3</v>
      </c>
      <c r="BE43" s="8">
        <f t="shared" si="51"/>
        <v>0.46402394999044938</v>
      </c>
      <c r="BH43" s="12">
        <v>3</v>
      </c>
      <c r="BI43" s="8">
        <v>-7.6300000000000007E-2</v>
      </c>
      <c r="BJ43" s="8">
        <f t="shared" si="52"/>
        <v>-0.24416000000000004</v>
      </c>
      <c r="BK43" s="8">
        <f t="shared" si="53"/>
        <v>0</v>
      </c>
    </row>
    <row r="44" spans="1:63">
      <c r="A44" s="8">
        <v>40</v>
      </c>
      <c r="B44" s="3">
        <v>44317</v>
      </c>
      <c r="C44" s="4">
        <v>0.33814814814814798</v>
      </c>
      <c r="D44" s="5">
        <v>-7.82</v>
      </c>
      <c r="E44" s="5">
        <v>107.04</v>
      </c>
      <c r="F44" s="6">
        <v>12</v>
      </c>
      <c r="G44" s="7">
        <v>2.9</v>
      </c>
      <c r="W44" s="73">
        <v>3.2</v>
      </c>
      <c r="X44" s="74">
        <v>4.5</v>
      </c>
      <c r="Y44" s="28">
        <v>0.72520893541023967</v>
      </c>
      <c r="Z44" s="49">
        <f t="shared" si="41"/>
        <v>1.6899999999999995</v>
      </c>
      <c r="AA44" s="59">
        <f t="shared" si="49"/>
        <v>8.4499999999999978E-2</v>
      </c>
      <c r="AR44" s="12">
        <v>4</v>
      </c>
      <c r="AS44" s="8">
        <f t="shared" si="50"/>
        <v>0.45472437520321457</v>
      </c>
      <c r="AT44" s="8">
        <f t="shared" si="43"/>
        <v>0.48333502548382712</v>
      </c>
      <c r="AU44" s="8">
        <f t="shared" si="44"/>
        <v>0.61937017854475618</v>
      </c>
      <c r="AV44" s="8">
        <f t="shared" si="45"/>
        <v>0</v>
      </c>
      <c r="AW44" s="8">
        <f t="shared" si="45"/>
        <v>0.57664855545614757</v>
      </c>
      <c r="AX44" s="8">
        <f t="shared" si="46"/>
        <v>2.0920799353596423E-2</v>
      </c>
      <c r="AY44" s="8">
        <f t="shared" si="46"/>
        <v>0.51343118221005246</v>
      </c>
      <c r="AZ44" s="8">
        <f t="shared" si="47"/>
        <v>0.50026674450649855</v>
      </c>
      <c r="BA44" s="8">
        <f t="shared" si="47"/>
        <v>0.48797933428928419</v>
      </c>
      <c r="BB44" s="8">
        <f t="shared" si="48"/>
        <v>0.42071802502332017</v>
      </c>
      <c r="BD44" s="12">
        <v>4</v>
      </c>
      <c r="BE44" s="8">
        <f t="shared" si="51"/>
        <v>0.5355594206574954</v>
      </c>
      <c r="BH44" s="12">
        <v>4</v>
      </c>
      <c r="BI44" s="8">
        <v>-3.6900000000000002E-2</v>
      </c>
      <c r="BJ44" s="8">
        <f t="shared" si="52"/>
        <v>-0.11808000000000002</v>
      </c>
      <c r="BK44" s="8">
        <f t="shared" si="53"/>
        <v>0</v>
      </c>
    </row>
    <row r="45" spans="1:63">
      <c r="A45" s="8">
        <v>41</v>
      </c>
      <c r="B45" s="3">
        <v>44319</v>
      </c>
      <c r="C45" s="4">
        <v>0.77722222222222204</v>
      </c>
      <c r="D45" s="5">
        <v>-7.33</v>
      </c>
      <c r="E45" s="5">
        <v>107.56</v>
      </c>
      <c r="F45" s="6">
        <v>10</v>
      </c>
      <c r="G45" s="7">
        <v>1.9</v>
      </c>
      <c r="W45" s="78">
        <v>3.2</v>
      </c>
      <c r="X45" s="81">
        <v>3.2</v>
      </c>
      <c r="Y45" s="28">
        <v>0.72801098892805338</v>
      </c>
      <c r="Z45" s="49">
        <f t="shared" si="41"/>
        <v>0</v>
      </c>
      <c r="AA45" s="59">
        <f t="shared" si="49"/>
        <v>0</v>
      </c>
      <c r="AR45" s="12">
        <v>5</v>
      </c>
      <c r="AS45" s="8">
        <f t="shared" si="50"/>
        <v>0.34451045161390065</v>
      </c>
      <c r="AT45" s="8">
        <f t="shared" si="43"/>
        <v>0.23558521459063739</v>
      </c>
      <c r="AU45" s="8">
        <f t="shared" si="44"/>
        <v>0.25319165316059195</v>
      </c>
      <c r="AV45" s="8">
        <f t="shared" si="45"/>
        <v>0.57664855545614757</v>
      </c>
      <c r="AW45" s="8">
        <f t="shared" si="45"/>
        <v>0</v>
      </c>
      <c r="AX45" s="8">
        <f t="shared" si="46"/>
        <v>0.58089991602131574</v>
      </c>
      <c r="AY45" s="8">
        <f t="shared" si="46"/>
        <v>0.28866887532622004</v>
      </c>
      <c r="AZ45" s="8">
        <f t="shared" si="47"/>
        <v>0.50736262785382047</v>
      </c>
      <c r="BA45" s="8">
        <f t="shared" si="47"/>
        <v>0.28504467846112685</v>
      </c>
      <c r="BB45" s="8">
        <f t="shared" si="48"/>
        <v>0.34344446430923126</v>
      </c>
      <c r="BD45" s="12">
        <v>5</v>
      </c>
      <c r="BE45" s="8">
        <f t="shared" si="51"/>
        <v>0.29073372616175025</v>
      </c>
      <c r="BH45" s="12">
        <v>5</v>
      </c>
      <c r="BI45" s="8">
        <v>2.69E-2</v>
      </c>
      <c r="BJ45" s="8">
        <f t="shared" si="52"/>
        <v>5.9180000000000003E-2</v>
      </c>
      <c r="BK45" s="8">
        <f t="shared" si="53"/>
        <v>-2.69E-2</v>
      </c>
    </row>
    <row r="46" spans="1:63">
      <c r="A46" s="8">
        <v>42</v>
      </c>
      <c r="B46" s="3">
        <v>44321</v>
      </c>
      <c r="C46" s="4">
        <v>0.42673611111111098</v>
      </c>
      <c r="D46" s="5">
        <v>-7.65</v>
      </c>
      <c r="E46" s="5">
        <v>107.569999999999</v>
      </c>
      <c r="F46" s="6">
        <v>19</v>
      </c>
      <c r="G46" s="7">
        <v>3</v>
      </c>
      <c r="W46" s="55">
        <v>3.6</v>
      </c>
      <c r="X46" s="43">
        <v>4.5</v>
      </c>
      <c r="Y46" s="28">
        <v>0.72964923079519095</v>
      </c>
      <c r="Z46" s="49">
        <f t="shared" si="41"/>
        <v>0.80999999999999983</v>
      </c>
      <c r="AA46" s="59">
        <f t="shared" si="49"/>
        <v>4.0499999999999994E-2</v>
      </c>
      <c r="AR46" s="12">
        <v>6</v>
      </c>
      <c r="AS46" s="8">
        <f t="shared" si="50"/>
        <v>0.45580891518749389</v>
      </c>
      <c r="AT46" s="8">
        <f t="shared" si="43"/>
        <v>0.49041866540944118</v>
      </c>
      <c r="AU46" s="8">
        <f t="shared" si="44"/>
        <v>0.62470846239450928</v>
      </c>
      <c r="AV46" s="8">
        <f t="shared" si="45"/>
        <v>2.0920799353596423E-2</v>
      </c>
      <c r="AW46" s="8">
        <f t="shared" si="45"/>
        <v>0.58089991602131574</v>
      </c>
      <c r="AX46" s="8">
        <f t="shared" si="46"/>
        <v>0</v>
      </c>
      <c r="AY46" s="8">
        <f t="shared" si="46"/>
        <v>0.51500081754424276</v>
      </c>
      <c r="AZ46" s="8">
        <f t="shared" si="47"/>
        <v>0.49664778871770698</v>
      </c>
      <c r="BA46" s="8">
        <f t="shared" si="47"/>
        <v>0.49000904230221842</v>
      </c>
      <c r="BB46" s="8">
        <f t="shared" si="48"/>
        <v>0.42271738807060577</v>
      </c>
      <c r="BD46" s="12">
        <v>6</v>
      </c>
      <c r="BE46" s="8">
        <f t="shared" si="51"/>
        <v>0.53690686494708584</v>
      </c>
      <c r="BH46" s="12">
        <v>6</v>
      </c>
      <c r="BI46" s="8">
        <v>-3.6900000000000002E-2</v>
      </c>
      <c r="BJ46" s="8">
        <f t="shared" si="52"/>
        <v>-0.13284000000000001</v>
      </c>
      <c r="BK46" s="8">
        <f t="shared" si="53"/>
        <v>-1.4759999999999997E-2</v>
      </c>
    </row>
    <row r="47" spans="1:63">
      <c r="A47" s="8">
        <v>43</v>
      </c>
      <c r="B47" s="3">
        <v>44322</v>
      </c>
      <c r="C47" s="4">
        <v>0.67498842592592601</v>
      </c>
      <c r="D47" s="5">
        <v>-7.03</v>
      </c>
      <c r="E47" s="5">
        <v>107.23</v>
      </c>
      <c r="F47" s="6">
        <v>10</v>
      </c>
      <c r="G47" s="7">
        <v>3.3</v>
      </c>
      <c r="W47" s="55">
        <v>2.7</v>
      </c>
      <c r="X47" s="43">
        <v>3.6</v>
      </c>
      <c r="Y47" s="28">
        <v>0.7305477397134853</v>
      </c>
      <c r="Z47" s="49">
        <f t="shared" si="41"/>
        <v>0.80999999999999983</v>
      </c>
      <c r="AA47" s="59">
        <f t="shared" si="49"/>
        <v>4.0499999999999994E-2</v>
      </c>
      <c r="AR47" s="12">
        <v>7</v>
      </c>
      <c r="AS47" s="8">
        <f t="shared" si="50"/>
        <v>0.12031648830206523</v>
      </c>
      <c r="AT47" s="8">
        <f t="shared" si="43"/>
        <v>0.34149675935794777</v>
      </c>
      <c r="AU47" s="8">
        <f t="shared" si="44"/>
        <v>0.45891662872955835</v>
      </c>
      <c r="AV47" s="8">
        <f t="shared" si="45"/>
        <v>0.51343118221005246</v>
      </c>
      <c r="AW47" s="8">
        <f t="shared" si="45"/>
        <v>0.28866887532622004</v>
      </c>
      <c r="AX47" s="8">
        <f t="shared" si="46"/>
        <v>0.51500081754424276</v>
      </c>
      <c r="AY47" s="8">
        <f t="shared" si="46"/>
        <v>0</v>
      </c>
      <c r="AZ47" s="8">
        <f t="shared" si="47"/>
        <v>0.31521151111542367</v>
      </c>
      <c r="BA47" s="8">
        <f t="shared" si="47"/>
        <v>5.7899730258963153E-2</v>
      </c>
      <c r="BB47" s="8">
        <f t="shared" si="48"/>
        <v>0.16696678385928942</v>
      </c>
      <c r="BD47" s="12">
        <v>7</v>
      </c>
      <c r="BE47" s="8">
        <f t="shared" si="51"/>
        <v>4.9601809766858587E-2</v>
      </c>
      <c r="BH47" s="12">
        <v>7</v>
      </c>
      <c r="BI47" s="8">
        <v>-0.31740000000000002</v>
      </c>
      <c r="BJ47" s="8">
        <f t="shared" si="52"/>
        <v>-0.98394000000000004</v>
      </c>
      <c r="BK47" s="8">
        <f t="shared" si="53"/>
        <v>3.1740000000000032E-2</v>
      </c>
    </row>
    <row r="48" spans="1:63">
      <c r="A48" s="8">
        <v>44</v>
      </c>
      <c r="B48" s="3">
        <v>44324</v>
      </c>
      <c r="C48" s="4">
        <v>6.9560185185185202E-3</v>
      </c>
      <c r="D48" s="5">
        <v>-7.75</v>
      </c>
      <c r="E48" s="5">
        <v>106.939999999999</v>
      </c>
      <c r="F48" s="6">
        <v>25</v>
      </c>
      <c r="G48" s="7">
        <v>3</v>
      </c>
      <c r="W48" s="55">
        <v>3.6</v>
      </c>
      <c r="X48" s="43">
        <v>3.5</v>
      </c>
      <c r="Y48" s="28">
        <v>0.74431176263813381</v>
      </c>
      <c r="Z48" s="49">
        <f t="shared" si="41"/>
        <v>1.0000000000000018E-2</v>
      </c>
      <c r="AA48" s="59">
        <f t="shared" si="49"/>
        <v>5.0000000000000088E-4</v>
      </c>
      <c r="AR48" s="12">
        <v>8</v>
      </c>
      <c r="AS48" s="8">
        <f t="shared" si="50"/>
        <v>0.27160298965373769</v>
      </c>
      <c r="AT48" s="8">
        <f t="shared" si="43"/>
        <v>0.51617639482949551</v>
      </c>
      <c r="AU48" s="8">
        <f t="shared" si="44"/>
        <v>0.61839935124373679</v>
      </c>
      <c r="AV48" s="8">
        <f t="shared" si="45"/>
        <v>0.50026674450649855</v>
      </c>
      <c r="AW48" s="8">
        <f t="shared" si="45"/>
        <v>0.50736262785382047</v>
      </c>
      <c r="AX48" s="8">
        <f t="shared" si="46"/>
        <v>0.49664778871770698</v>
      </c>
      <c r="AY48" s="8">
        <f t="shared" si="46"/>
        <v>0.31521151111542367</v>
      </c>
      <c r="AZ48" s="8">
        <f t="shared" si="47"/>
        <v>0</v>
      </c>
      <c r="BA48" s="8">
        <f t="shared" si="47"/>
        <v>0.32153690725319284</v>
      </c>
      <c r="BB48" s="8">
        <f t="shared" si="48"/>
        <v>0.30488022349844718</v>
      </c>
      <c r="BD48" s="12">
        <v>8</v>
      </c>
      <c r="BE48" s="8">
        <f t="shared" si="51"/>
        <v>0.32095848799596449</v>
      </c>
      <c r="BH48" s="12">
        <v>8</v>
      </c>
      <c r="BI48" s="8">
        <v>-1.43E-2</v>
      </c>
      <c r="BJ48" s="8">
        <f t="shared" si="52"/>
        <v>-5.0049999999999997E-2</v>
      </c>
      <c r="BK48" s="8">
        <f t="shared" si="53"/>
        <v>-4.2899999999999978E-3</v>
      </c>
    </row>
    <row r="49" spans="1:63">
      <c r="A49" s="8">
        <v>45</v>
      </c>
      <c r="B49" s="3">
        <v>44325</v>
      </c>
      <c r="C49" s="4">
        <v>0.141585648148148</v>
      </c>
      <c r="D49" s="5">
        <v>-7.24</v>
      </c>
      <c r="E49" s="5">
        <v>107.709999999999</v>
      </c>
      <c r="F49" s="6">
        <v>11</v>
      </c>
      <c r="G49" s="7">
        <v>2.5</v>
      </c>
      <c r="W49" s="73">
        <v>3.2</v>
      </c>
      <c r="X49" s="74">
        <v>3.5</v>
      </c>
      <c r="Y49" s="28">
        <v>0.75239617223906707</v>
      </c>
      <c r="Z49" s="49">
        <f t="shared" si="41"/>
        <v>8.99999999999999E-2</v>
      </c>
      <c r="AA49" s="59">
        <f t="shared" si="49"/>
        <v>4.4999999999999953E-3</v>
      </c>
      <c r="AR49" s="12">
        <v>9</v>
      </c>
      <c r="AS49" s="8">
        <f t="shared" si="50"/>
        <v>8.9725088824379282E-2</v>
      </c>
      <c r="AT49" s="8">
        <f t="shared" si="43"/>
        <v>0.31302493247021823</v>
      </c>
      <c r="AU49" s="8">
        <f t="shared" si="44"/>
        <v>0.44971306644114623</v>
      </c>
      <c r="AV49" s="8">
        <f t="shared" si="45"/>
        <v>0.48797933428928419</v>
      </c>
      <c r="AW49" s="8">
        <f t="shared" si="45"/>
        <v>0.28504467846112685</v>
      </c>
      <c r="AX49" s="8">
        <f t="shared" si="46"/>
        <v>0.49000904230221842</v>
      </c>
      <c r="AY49" s="8">
        <f t="shared" si="46"/>
        <v>5.7899730258963153E-2</v>
      </c>
      <c r="AZ49" s="8">
        <f t="shared" si="47"/>
        <v>0.32153690725319284</v>
      </c>
      <c r="BA49" s="8">
        <f t="shared" si="47"/>
        <v>0</v>
      </c>
      <c r="BB49" s="8">
        <f t="shared" si="48"/>
        <v>0.12244281633827804</v>
      </c>
      <c r="BD49" s="12">
        <v>9</v>
      </c>
      <c r="BE49" s="8">
        <f t="shared" si="51"/>
        <v>0.10402782123811931</v>
      </c>
      <c r="BH49" s="12">
        <v>9</v>
      </c>
      <c r="BI49" s="8">
        <v>7.4499999999999997E-2</v>
      </c>
      <c r="BJ49" s="8">
        <f t="shared" si="52"/>
        <v>0.33524999999999999</v>
      </c>
      <c r="BK49" s="8">
        <f t="shared" si="53"/>
        <v>9.6849999999999978E-2</v>
      </c>
    </row>
    <row r="50" spans="1:63">
      <c r="A50" s="8">
        <v>46</v>
      </c>
      <c r="B50" s="3">
        <v>44326</v>
      </c>
      <c r="C50" s="4">
        <v>0.50537037037037003</v>
      </c>
      <c r="D50" s="5">
        <v>-7.74</v>
      </c>
      <c r="E50" s="5">
        <v>108.64</v>
      </c>
      <c r="F50" s="6">
        <v>84</v>
      </c>
      <c r="G50" s="7">
        <v>2.9</v>
      </c>
      <c r="W50" s="56">
        <v>2.2000000000000002</v>
      </c>
      <c r="X50" s="47">
        <v>3.5</v>
      </c>
      <c r="Y50" s="29">
        <v>0.76843997813783893</v>
      </c>
      <c r="Z50" s="50">
        <f t="shared" si="41"/>
        <v>1.6899999999999995</v>
      </c>
      <c r="AA50" s="59">
        <f t="shared" si="49"/>
        <v>8.4499999999999978E-2</v>
      </c>
      <c r="AR50" s="12">
        <v>10</v>
      </c>
      <c r="AS50" s="8">
        <f t="shared" si="50"/>
        <v>7.2740083906250683E-2</v>
      </c>
      <c r="AT50" s="8">
        <f t="shared" si="43"/>
        <v>0.31333352367023759</v>
      </c>
      <c r="AU50" s="8">
        <f t="shared" si="44"/>
        <v>0.47788779984938168</v>
      </c>
      <c r="AV50" s="8">
        <f t="shared" si="45"/>
        <v>0.42071802502332017</v>
      </c>
      <c r="AW50" s="8">
        <f t="shared" si="45"/>
        <v>0.34344446430923126</v>
      </c>
      <c r="AX50" s="8">
        <f t="shared" si="46"/>
        <v>0.42271738807060577</v>
      </c>
      <c r="AY50" s="8">
        <f t="shared" si="46"/>
        <v>0.16696678385928942</v>
      </c>
      <c r="AZ50" s="8">
        <f t="shared" si="47"/>
        <v>0.30488022349844718</v>
      </c>
      <c r="BA50" s="8">
        <f t="shared" si="47"/>
        <v>0.12244281633827804</v>
      </c>
      <c r="BB50" s="8">
        <f t="shared" si="48"/>
        <v>0</v>
      </c>
      <c r="BD50" s="12">
        <v>10</v>
      </c>
      <c r="BE50" s="8">
        <f t="shared" si="51"/>
        <v>0.20705063214007094</v>
      </c>
      <c r="BH50" s="12">
        <v>10</v>
      </c>
      <c r="BI50" s="8">
        <v>1.3741000000000001</v>
      </c>
      <c r="BJ50" s="8">
        <f t="shared" si="52"/>
        <v>3.84748</v>
      </c>
      <c r="BK50" s="8">
        <f t="shared" si="53"/>
        <v>-0.54964000000000057</v>
      </c>
    </row>
    <row r="51" spans="1:63">
      <c r="A51" s="8">
        <v>47</v>
      </c>
      <c r="B51" s="3">
        <v>44327</v>
      </c>
      <c r="C51" s="4">
        <v>0.28400462962963002</v>
      </c>
      <c r="D51" s="5">
        <v>-7.64</v>
      </c>
      <c r="E51" s="5">
        <v>106.53</v>
      </c>
      <c r="F51" s="6">
        <v>16</v>
      </c>
      <c r="G51" s="7">
        <v>3.2</v>
      </c>
      <c r="V51" s="9" t="s">
        <v>35</v>
      </c>
      <c r="W51" s="77">
        <v>3.2</v>
      </c>
      <c r="X51" s="85">
        <v>3.1</v>
      </c>
      <c r="Y51" s="33">
        <v>0.78236819976274607</v>
      </c>
      <c r="Z51" s="52">
        <f t="shared" si="41"/>
        <v>1.0000000000000018E-2</v>
      </c>
      <c r="AA51" s="59">
        <f>Z51/6</f>
        <v>1.6666666666666696E-3</v>
      </c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E51" s="87"/>
      <c r="BH51" s="69" t="s">
        <v>64</v>
      </c>
      <c r="BI51" s="8">
        <f>SUM(BI41:BI50)</f>
        <v>0.8983000000000001</v>
      </c>
      <c r="BJ51" s="8">
        <f>SUM(BJ41:BJ50)</f>
        <v>2.50176</v>
      </c>
      <c r="BK51" s="53">
        <f>N15+SUM(BK41:BK50)</f>
        <v>2.8271999999999995</v>
      </c>
    </row>
    <row r="52" spans="1:63">
      <c r="A52" s="8">
        <v>48</v>
      </c>
      <c r="B52" s="3">
        <v>44335</v>
      </c>
      <c r="C52" s="4">
        <v>0.51403935185185201</v>
      </c>
      <c r="D52" s="5">
        <v>-7.85</v>
      </c>
      <c r="E52" s="5">
        <v>107.26</v>
      </c>
      <c r="F52" s="6">
        <v>26</v>
      </c>
      <c r="G52" s="7">
        <v>3.3</v>
      </c>
      <c r="W52" s="55">
        <v>3.6</v>
      </c>
      <c r="X52" s="43">
        <v>3.1</v>
      </c>
      <c r="Y52" s="28">
        <v>0.78600254452594831</v>
      </c>
      <c r="Z52" s="49">
        <f t="shared" si="41"/>
        <v>0.25</v>
      </c>
      <c r="AA52" s="59">
        <f t="shared" ref="AA52:AA53" si="54">Z52/6</f>
        <v>4.1666666666666664E-2</v>
      </c>
    </row>
    <row r="53" spans="1:63">
      <c r="A53" s="8">
        <v>49</v>
      </c>
      <c r="B53" s="3">
        <v>44339</v>
      </c>
      <c r="C53" s="4">
        <v>0.520393518518519</v>
      </c>
      <c r="D53" s="5">
        <v>-7.23</v>
      </c>
      <c r="E53" s="5">
        <v>107.739999999999</v>
      </c>
      <c r="F53" s="6">
        <v>10</v>
      </c>
      <c r="G53" s="7">
        <v>3.2</v>
      </c>
      <c r="W53" s="56">
        <v>2.7</v>
      </c>
      <c r="X53" s="47">
        <v>3.5</v>
      </c>
      <c r="Y53" s="29">
        <v>0.78873316146844008</v>
      </c>
      <c r="Z53" s="50">
        <f t="shared" si="41"/>
        <v>0.63999999999999968</v>
      </c>
      <c r="AA53" s="59">
        <f t="shared" si="54"/>
        <v>0.10666666666666662</v>
      </c>
    </row>
    <row r="54" spans="1:63">
      <c r="A54" s="8">
        <v>50</v>
      </c>
      <c r="B54" s="3">
        <v>44340</v>
      </c>
      <c r="C54" s="4">
        <v>0.86993055555555598</v>
      </c>
      <c r="D54" s="5">
        <v>-7.18</v>
      </c>
      <c r="E54" s="5">
        <v>106.68</v>
      </c>
      <c r="F54" s="6">
        <v>66</v>
      </c>
      <c r="G54" s="7">
        <v>3.1</v>
      </c>
      <c r="V54" s="9" t="s">
        <v>34</v>
      </c>
      <c r="W54" s="77">
        <v>3.2</v>
      </c>
      <c r="X54" s="85">
        <v>2.2000000000000002</v>
      </c>
      <c r="Y54" s="33">
        <v>0.94031909477526632</v>
      </c>
      <c r="Z54" s="52">
        <f t="shared" si="41"/>
        <v>1</v>
      </c>
      <c r="AA54" s="59">
        <f>Z54/4</f>
        <v>0.25</v>
      </c>
    </row>
    <row r="55" spans="1:63">
      <c r="A55" s="8">
        <v>51</v>
      </c>
      <c r="B55" s="3">
        <v>44340</v>
      </c>
      <c r="C55" s="4">
        <v>0.41275462962963</v>
      </c>
      <c r="D55" s="5">
        <v>-7.88</v>
      </c>
      <c r="E55" s="5">
        <v>107.51</v>
      </c>
      <c r="F55" s="6">
        <v>31</v>
      </c>
      <c r="G55" s="7">
        <v>3.6</v>
      </c>
      <c r="W55" s="56">
        <v>2.2000000000000002</v>
      </c>
      <c r="X55" s="47">
        <v>3.6</v>
      </c>
      <c r="Y55" s="29">
        <v>0.9518928511129815</v>
      </c>
      <c r="Z55" s="50">
        <f t="shared" si="41"/>
        <v>1.9599999999999997</v>
      </c>
      <c r="AA55" s="59">
        <f>Z55/4</f>
        <v>0.48999999999999994</v>
      </c>
      <c r="AR55" s="143" t="s">
        <v>66</v>
      </c>
      <c r="AS55" s="143"/>
      <c r="AT55" s="143"/>
      <c r="AU55" s="144" t="s">
        <v>80</v>
      </c>
      <c r="AV55" s="145"/>
      <c r="AW55" s="145"/>
    </row>
    <row r="56" spans="1:63">
      <c r="A56" s="8">
        <v>52</v>
      </c>
      <c r="B56" s="3">
        <v>44340</v>
      </c>
      <c r="C56" s="4">
        <v>0.99877314814814799</v>
      </c>
      <c r="D56" s="5">
        <v>-7.73</v>
      </c>
      <c r="E56" s="5">
        <v>107.51</v>
      </c>
      <c r="F56" s="6">
        <v>10</v>
      </c>
      <c r="G56" s="7">
        <v>3.1</v>
      </c>
      <c r="V56" s="9" t="s">
        <v>36</v>
      </c>
      <c r="W56" s="70">
        <v>3.2</v>
      </c>
      <c r="X56" s="83">
        <v>3.5</v>
      </c>
      <c r="Y56" s="33">
        <v>1.0602358228243387</v>
      </c>
      <c r="Z56" s="52">
        <f t="shared" si="41"/>
        <v>8.99999999999999E-2</v>
      </c>
      <c r="AA56" s="59">
        <f>Z56/6</f>
        <v>1.4999999999999984E-2</v>
      </c>
      <c r="AR56" s="143"/>
      <c r="AS56" s="143"/>
      <c r="AT56" s="143"/>
      <c r="AU56" s="145"/>
      <c r="AV56" s="145"/>
      <c r="AW56" s="145"/>
    </row>
    <row r="57" spans="1:63">
      <c r="A57" s="8">
        <v>53</v>
      </c>
      <c r="B57" s="3">
        <v>44340</v>
      </c>
      <c r="C57" s="4">
        <v>0.76120370370370405</v>
      </c>
      <c r="D57" s="5">
        <v>-6.95</v>
      </c>
      <c r="E57" s="5">
        <v>107.89</v>
      </c>
      <c r="F57" s="6">
        <v>10</v>
      </c>
      <c r="G57" s="7">
        <v>2.1</v>
      </c>
      <c r="W57" s="72">
        <v>3.2</v>
      </c>
      <c r="X57" s="75">
        <v>3.2</v>
      </c>
      <c r="Y57" s="28">
        <v>1.0632027088001599</v>
      </c>
      <c r="Z57" s="49">
        <f t="shared" si="41"/>
        <v>0</v>
      </c>
      <c r="AA57" s="59">
        <f t="shared" ref="AA57:AA58" si="55">Z57/6</f>
        <v>0</v>
      </c>
      <c r="AR57" s="69" t="s">
        <v>57</v>
      </c>
      <c r="AS57" s="12">
        <v>1</v>
      </c>
      <c r="AT57" s="12">
        <v>2</v>
      </c>
      <c r="AU57" s="12">
        <v>3</v>
      </c>
      <c r="AV57" s="12">
        <v>4</v>
      </c>
      <c r="AW57" s="12">
        <v>5</v>
      </c>
      <c r="AX57" s="12">
        <v>6</v>
      </c>
      <c r="AY57" s="12">
        <v>7</v>
      </c>
      <c r="AZ57" s="12">
        <v>8</v>
      </c>
      <c r="BA57" s="12">
        <v>9</v>
      </c>
      <c r="BB57" s="12">
        <v>10</v>
      </c>
      <c r="BD57" s="69" t="s">
        <v>59</v>
      </c>
      <c r="BE57" s="12">
        <v>11</v>
      </c>
      <c r="BH57" s="141" t="s">
        <v>61</v>
      </c>
      <c r="BI57" s="142"/>
      <c r="BJ57" s="113" t="s">
        <v>81</v>
      </c>
      <c r="BK57" s="113" t="s">
        <v>82</v>
      </c>
    </row>
    <row r="58" spans="1:63">
      <c r="A58" s="8">
        <v>54</v>
      </c>
      <c r="B58" s="3">
        <v>44343</v>
      </c>
      <c r="C58" s="4">
        <v>0.13581018518518501</v>
      </c>
      <c r="D58" s="5">
        <v>-7.31</v>
      </c>
      <c r="E58" s="5">
        <v>106.67</v>
      </c>
      <c r="F58" s="6">
        <v>97</v>
      </c>
      <c r="G58" s="7">
        <v>3.6</v>
      </c>
      <c r="W58" s="80">
        <v>3.2</v>
      </c>
      <c r="X58" s="84">
        <v>3.6</v>
      </c>
      <c r="Y58" s="29">
        <v>1.0796758772893746</v>
      </c>
      <c r="Z58" s="50">
        <f t="shared" si="41"/>
        <v>0.15999999999999992</v>
      </c>
      <c r="AA58" s="59">
        <f t="shared" si="55"/>
        <v>2.6666666666666655E-2</v>
      </c>
      <c r="AR58" s="12">
        <v>1</v>
      </c>
      <c r="AS58" s="8"/>
      <c r="AT58" s="8"/>
      <c r="AU58" s="8"/>
      <c r="AV58" s="8"/>
      <c r="AW58" s="8"/>
      <c r="AX58" s="8"/>
      <c r="AY58" s="8"/>
      <c r="AZ58" s="8"/>
      <c r="BA58" s="8"/>
      <c r="BB58" s="8"/>
      <c r="BD58" s="12">
        <v>1</v>
      </c>
      <c r="BE58" s="8"/>
      <c r="BH58" s="12">
        <v>1</v>
      </c>
      <c r="BI58" s="8"/>
      <c r="BJ58" s="8"/>
      <c r="BK58" s="8"/>
    </row>
    <row r="59" spans="1:63">
      <c r="A59" s="8">
        <v>55</v>
      </c>
      <c r="B59" s="3">
        <v>44343</v>
      </c>
      <c r="C59" s="4">
        <v>0.99250000000000005</v>
      </c>
      <c r="D59" s="5">
        <v>-7.84</v>
      </c>
      <c r="E59" s="5">
        <v>107.29</v>
      </c>
      <c r="F59" s="6">
        <v>25</v>
      </c>
      <c r="G59" s="7">
        <v>4.0999999999999996</v>
      </c>
      <c r="AR59" s="12">
        <v>2</v>
      </c>
      <c r="AS59" s="8"/>
      <c r="AT59" s="8"/>
      <c r="AU59" s="8"/>
      <c r="AV59" s="8"/>
      <c r="AW59" s="8"/>
      <c r="AX59" s="8"/>
      <c r="AY59" s="8"/>
      <c r="AZ59" s="8"/>
      <c r="BA59" s="8"/>
      <c r="BB59" s="8"/>
      <c r="BD59" s="12">
        <v>2</v>
      </c>
      <c r="BE59" s="8"/>
      <c r="BH59" s="12">
        <v>2</v>
      </c>
      <c r="BI59" s="8"/>
      <c r="BJ59" s="8"/>
      <c r="BK59" s="8"/>
    </row>
    <row r="60" spans="1:63">
      <c r="A60" s="8">
        <v>56</v>
      </c>
      <c r="B60" s="3">
        <v>44344</v>
      </c>
      <c r="C60" s="4">
        <v>0.71865740740740702</v>
      </c>
      <c r="D60" s="5">
        <v>-7.23</v>
      </c>
      <c r="E60" s="5">
        <v>108.67</v>
      </c>
      <c r="F60" s="6">
        <v>10</v>
      </c>
      <c r="G60" s="7">
        <v>3.7</v>
      </c>
      <c r="AR60" s="12">
        <v>3</v>
      </c>
      <c r="AS60" s="8"/>
      <c r="AT60" s="8"/>
      <c r="AU60" s="8"/>
      <c r="AV60" s="8"/>
      <c r="AW60" s="8"/>
      <c r="AX60" s="8"/>
      <c r="AY60" s="8"/>
      <c r="AZ60" s="8"/>
      <c r="BA60" s="8"/>
      <c r="BB60" s="8"/>
      <c r="BD60" s="12">
        <v>3</v>
      </c>
      <c r="BE60" s="8"/>
      <c r="BH60" s="12">
        <v>3</v>
      </c>
      <c r="BI60" s="8"/>
      <c r="BJ60" s="8"/>
      <c r="BK60" s="8"/>
    </row>
    <row r="61" spans="1:63">
      <c r="A61" s="8">
        <v>57</v>
      </c>
      <c r="B61" s="3">
        <v>44345</v>
      </c>
      <c r="C61" s="4">
        <v>0.20769675925925901</v>
      </c>
      <c r="D61" s="5">
        <v>-6.94</v>
      </c>
      <c r="E61" s="5">
        <v>107.019999999999</v>
      </c>
      <c r="F61" s="6">
        <v>10</v>
      </c>
      <c r="G61" s="7">
        <v>2.5</v>
      </c>
      <c r="AR61" s="12">
        <v>4</v>
      </c>
      <c r="AS61" s="8"/>
      <c r="AT61" s="8"/>
      <c r="AU61" s="8"/>
      <c r="AV61" s="8"/>
      <c r="AW61" s="8"/>
      <c r="AX61" s="8"/>
      <c r="AY61" s="8"/>
      <c r="AZ61" s="8"/>
      <c r="BA61" s="8"/>
      <c r="BB61" s="8"/>
      <c r="BD61" s="12">
        <v>4</v>
      </c>
      <c r="BE61" s="8"/>
      <c r="BH61" s="12">
        <v>4</v>
      </c>
      <c r="BI61" s="8"/>
      <c r="BJ61" s="8"/>
      <c r="BK61" s="8"/>
    </row>
    <row r="62" spans="1:63">
      <c r="A62" s="8">
        <v>58</v>
      </c>
      <c r="B62" s="3">
        <v>44350</v>
      </c>
      <c r="C62" s="4">
        <v>0.96505787037037005</v>
      </c>
      <c r="D62" s="5">
        <v>-6.91</v>
      </c>
      <c r="E62" s="5">
        <v>106.959999999999</v>
      </c>
      <c r="F62" s="6">
        <v>10</v>
      </c>
      <c r="G62" s="7">
        <v>3.1</v>
      </c>
      <c r="AR62" s="12">
        <v>5</v>
      </c>
      <c r="AS62" s="8"/>
      <c r="AT62" s="8"/>
      <c r="AU62" s="8"/>
      <c r="AV62" s="8"/>
      <c r="AW62" s="8"/>
      <c r="AX62" s="8"/>
      <c r="AY62" s="8"/>
      <c r="AZ62" s="8"/>
      <c r="BA62" s="8"/>
      <c r="BB62" s="8"/>
      <c r="BD62" s="12">
        <v>5</v>
      </c>
      <c r="BE62" s="8"/>
      <c r="BH62" s="12">
        <v>5</v>
      </c>
      <c r="BI62" s="8"/>
      <c r="BJ62" s="8"/>
      <c r="BK62" s="8"/>
    </row>
    <row r="63" spans="1:63">
      <c r="A63" s="8">
        <v>59</v>
      </c>
      <c r="B63" s="3">
        <v>44351</v>
      </c>
      <c r="C63" s="4">
        <v>0.17413194444444399</v>
      </c>
      <c r="D63" s="5">
        <v>-7.71</v>
      </c>
      <c r="E63" s="5">
        <v>106.93</v>
      </c>
      <c r="F63" s="6">
        <v>10</v>
      </c>
      <c r="G63" s="7">
        <v>3.6</v>
      </c>
      <c r="AR63" s="12">
        <v>6</v>
      </c>
      <c r="AS63" s="8"/>
      <c r="AT63" s="8"/>
      <c r="AU63" s="8"/>
      <c r="AV63" s="8"/>
      <c r="AW63" s="8"/>
      <c r="AX63" s="8"/>
      <c r="AY63" s="8"/>
      <c r="AZ63" s="8"/>
      <c r="BA63" s="8"/>
      <c r="BB63" s="8"/>
      <c r="BD63" s="12">
        <v>6</v>
      </c>
      <c r="BE63" s="8"/>
      <c r="BH63" s="12">
        <v>6</v>
      </c>
      <c r="BI63" s="8"/>
      <c r="BJ63" s="8"/>
      <c r="BK63" s="8"/>
    </row>
    <row r="64" spans="1:63">
      <c r="A64" s="8">
        <v>60</v>
      </c>
      <c r="B64" s="3">
        <v>44352</v>
      </c>
      <c r="C64" s="4">
        <v>0.19931712962963</v>
      </c>
      <c r="D64" s="5">
        <v>-7.22</v>
      </c>
      <c r="E64" s="5">
        <v>108.78</v>
      </c>
      <c r="F64" s="6">
        <v>10</v>
      </c>
      <c r="G64" s="7">
        <v>5.5</v>
      </c>
      <c r="AR64" s="12">
        <v>7</v>
      </c>
      <c r="AS64" s="8"/>
      <c r="AT64" s="8"/>
      <c r="AU64" s="8"/>
      <c r="AV64" s="8"/>
      <c r="AW64" s="8"/>
      <c r="AX64" s="8"/>
      <c r="AY64" s="8"/>
      <c r="AZ64" s="8"/>
      <c r="BA64" s="8"/>
      <c r="BB64" s="8"/>
      <c r="BD64" s="12">
        <v>7</v>
      </c>
      <c r="BE64" s="8"/>
      <c r="BH64" s="12">
        <v>7</v>
      </c>
      <c r="BI64" s="8"/>
      <c r="BJ64" s="8"/>
      <c r="BK64" s="8"/>
    </row>
    <row r="65" spans="1:63">
      <c r="A65" s="8">
        <v>61</v>
      </c>
      <c r="B65" s="3">
        <v>44352</v>
      </c>
      <c r="C65" s="4">
        <v>0.13472222222222199</v>
      </c>
      <c r="D65" s="5">
        <v>-6.75</v>
      </c>
      <c r="E65" s="5">
        <v>106.599999999999</v>
      </c>
      <c r="F65" s="6">
        <v>16</v>
      </c>
      <c r="G65" s="7">
        <v>2.7</v>
      </c>
      <c r="AR65" s="12">
        <v>8</v>
      </c>
      <c r="AS65" s="8"/>
      <c r="AT65" s="8"/>
      <c r="AU65" s="8"/>
      <c r="AV65" s="8"/>
      <c r="AW65" s="8"/>
      <c r="AX65" s="8"/>
      <c r="AY65" s="8"/>
      <c r="AZ65" s="8"/>
      <c r="BA65" s="8"/>
      <c r="BB65" s="8"/>
      <c r="BD65" s="12">
        <v>8</v>
      </c>
      <c r="BE65" s="8"/>
      <c r="BH65" s="12">
        <v>8</v>
      </c>
      <c r="BI65" s="8"/>
      <c r="BJ65" s="8"/>
      <c r="BK65" s="8"/>
    </row>
    <row r="66" spans="1:63">
      <c r="A66" s="8">
        <v>62</v>
      </c>
      <c r="B66" s="3">
        <v>44353</v>
      </c>
      <c r="C66" s="4">
        <v>0.54671296296296301</v>
      </c>
      <c r="D66" s="5">
        <v>-7.84</v>
      </c>
      <c r="E66" s="5">
        <v>107.26</v>
      </c>
      <c r="F66" s="6">
        <v>27</v>
      </c>
      <c r="G66" s="7">
        <v>4.0999999999999996</v>
      </c>
      <c r="AR66" s="12">
        <v>9</v>
      </c>
      <c r="AS66" s="8"/>
      <c r="AT66" s="8"/>
      <c r="AU66" s="8"/>
      <c r="AV66" s="8"/>
      <c r="AW66" s="8"/>
      <c r="AX66" s="8"/>
      <c r="AY66" s="8"/>
      <c r="AZ66" s="8"/>
      <c r="BA66" s="8"/>
      <c r="BB66" s="8"/>
      <c r="BD66" s="12">
        <v>9</v>
      </c>
      <c r="BE66" s="8"/>
      <c r="BH66" s="12">
        <v>9</v>
      </c>
      <c r="BI66" s="8"/>
      <c r="BJ66" s="8"/>
      <c r="BK66" s="8"/>
    </row>
    <row r="67" spans="1:63">
      <c r="A67" s="8">
        <v>63</v>
      </c>
      <c r="B67" s="3">
        <v>44354</v>
      </c>
      <c r="C67" s="4">
        <v>0.54998842592592601</v>
      </c>
      <c r="D67" s="5">
        <v>-7.87</v>
      </c>
      <c r="E67" s="5">
        <v>107.26</v>
      </c>
      <c r="F67" s="6">
        <v>25</v>
      </c>
      <c r="G67" s="7">
        <v>4.0999999999999996</v>
      </c>
      <c r="AR67" s="12">
        <v>10</v>
      </c>
      <c r="AS67" s="8"/>
      <c r="AT67" s="8"/>
      <c r="AU67" s="8"/>
      <c r="AV67" s="8"/>
      <c r="AW67" s="8"/>
      <c r="AX67" s="8"/>
      <c r="AY67" s="8"/>
      <c r="AZ67" s="8"/>
      <c r="BA67" s="8"/>
      <c r="BB67" s="8"/>
      <c r="BD67" s="12">
        <v>10</v>
      </c>
      <c r="BE67" s="8"/>
      <c r="BH67" s="12">
        <v>10</v>
      </c>
      <c r="BI67" s="8"/>
      <c r="BJ67" s="8"/>
      <c r="BK67" s="8"/>
    </row>
    <row r="68" spans="1:63">
      <c r="A68" s="8">
        <v>64</v>
      </c>
      <c r="B68" s="3">
        <v>44354</v>
      </c>
      <c r="C68" s="4">
        <v>0.43775462962963002</v>
      </c>
      <c r="D68" s="5">
        <v>-7.85</v>
      </c>
      <c r="E68" s="5">
        <v>107.28</v>
      </c>
      <c r="F68" s="6">
        <v>23</v>
      </c>
      <c r="G68" s="7">
        <v>4.0999999999999996</v>
      </c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E68" s="87"/>
      <c r="BH68" s="69" t="s">
        <v>64</v>
      </c>
      <c r="BI68" s="8"/>
      <c r="BJ68" s="8"/>
      <c r="BK68" s="86"/>
    </row>
    <row r="69" spans="1:63">
      <c r="A69" s="8">
        <v>65</v>
      </c>
      <c r="B69" s="3">
        <v>44355</v>
      </c>
      <c r="C69" s="4">
        <v>0.573159722222222</v>
      </c>
      <c r="D69" s="5">
        <v>-7.85</v>
      </c>
      <c r="E69" s="5">
        <v>106.79</v>
      </c>
      <c r="F69" s="6">
        <v>10</v>
      </c>
      <c r="G69" s="7">
        <v>3.2</v>
      </c>
    </row>
    <row r="70" spans="1:63">
      <c r="A70" s="8">
        <v>66</v>
      </c>
      <c r="B70" s="3">
        <v>44355</v>
      </c>
      <c r="C70" s="4">
        <v>0.83865740740740702</v>
      </c>
      <c r="D70" s="5">
        <v>-7.46</v>
      </c>
      <c r="E70" s="5">
        <v>106.799999999999</v>
      </c>
      <c r="F70" s="6">
        <v>108</v>
      </c>
      <c r="G70" s="7">
        <v>4.2</v>
      </c>
    </row>
    <row r="71" spans="1:63">
      <c r="A71" s="8">
        <v>67</v>
      </c>
      <c r="B71" s="3">
        <v>44359</v>
      </c>
      <c r="C71" s="4">
        <v>0.62555555555555598</v>
      </c>
      <c r="D71" s="5">
        <v>-7.11</v>
      </c>
      <c r="E71" s="5">
        <v>107.489999999999</v>
      </c>
      <c r="F71" s="6">
        <v>19</v>
      </c>
      <c r="G71" s="7">
        <v>2.9</v>
      </c>
    </row>
    <row r="72" spans="1:63">
      <c r="A72" s="8">
        <v>68</v>
      </c>
      <c r="B72" s="3">
        <v>44364</v>
      </c>
      <c r="C72" s="4">
        <v>0.26428240740740699</v>
      </c>
      <c r="D72" s="5">
        <v>-7.8</v>
      </c>
      <c r="E72" s="5">
        <v>106.5</v>
      </c>
      <c r="F72" s="6">
        <v>10</v>
      </c>
      <c r="G72" s="7">
        <v>3.6</v>
      </c>
    </row>
    <row r="73" spans="1:63">
      <c r="A73" s="8">
        <v>69</v>
      </c>
      <c r="B73" s="3">
        <v>44365</v>
      </c>
      <c r="C73" s="4">
        <v>0.69666666666666699</v>
      </c>
      <c r="D73" s="5">
        <v>-7.26</v>
      </c>
      <c r="E73" s="5">
        <v>107.599999999999</v>
      </c>
      <c r="F73" s="6">
        <v>10</v>
      </c>
      <c r="G73" s="7">
        <v>2</v>
      </c>
    </row>
    <row r="74" spans="1:63">
      <c r="A74" s="8">
        <v>70</v>
      </c>
      <c r="B74" s="3">
        <v>44366</v>
      </c>
      <c r="C74" s="4">
        <v>0.56094907407407402</v>
      </c>
      <c r="D74" s="5">
        <v>-7.81</v>
      </c>
      <c r="E74" s="5">
        <v>107.299999999999</v>
      </c>
      <c r="F74" s="6">
        <v>28</v>
      </c>
      <c r="G74" s="7">
        <v>3.1</v>
      </c>
    </row>
    <row r="75" spans="1:63">
      <c r="A75" s="8">
        <v>71</v>
      </c>
      <c r="B75" s="3">
        <v>44367</v>
      </c>
      <c r="C75" s="4">
        <v>0.466631944444444</v>
      </c>
      <c r="D75" s="5">
        <v>-7.71</v>
      </c>
      <c r="E75" s="5">
        <v>106.62</v>
      </c>
      <c r="F75" s="6">
        <v>19</v>
      </c>
      <c r="G75" s="7">
        <v>2.9</v>
      </c>
    </row>
    <row r="76" spans="1:63">
      <c r="A76" s="8">
        <v>72</v>
      </c>
      <c r="B76" s="3">
        <v>44373</v>
      </c>
      <c r="C76" s="4">
        <v>0.56983796296296296</v>
      </c>
      <c r="D76" s="5">
        <v>-7.57</v>
      </c>
      <c r="E76" s="5">
        <v>106.489999999999</v>
      </c>
      <c r="F76" s="6">
        <v>81</v>
      </c>
      <c r="G76" s="7">
        <v>2.8</v>
      </c>
    </row>
    <row r="77" spans="1:63">
      <c r="A77" s="8">
        <v>73</v>
      </c>
      <c r="B77" s="3">
        <v>44374</v>
      </c>
      <c r="C77" s="4">
        <v>0.67315972222222198</v>
      </c>
      <c r="D77" s="5">
        <v>-7.7</v>
      </c>
      <c r="E77" s="5">
        <v>106.59</v>
      </c>
      <c r="F77" s="6">
        <v>20</v>
      </c>
      <c r="G77" s="7">
        <v>3.6</v>
      </c>
    </row>
    <row r="78" spans="1:63">
      <c r="A78" s="8">
        <v>74</v>
      </c>
      <c r="B78" s="3">
        <v>44379</v>
      </c>
      <c r="C78" s="4">
        <v>0.98532407407407396</v>
      </c>
      <c r="D78" s="5">
        <v>-7.52</v>
      </c>
      <c r="E78" s="5">
        <v>106.76</v>
      </c>
      <c r="F78" s="6">
        <v>44</v>
      </c>
      <c r="G78" s="7">
        <v>4.8</v>
      </c>
    </row>
    <row r="79" spans="1:63">
      <c r="A79" s="8">
        <v>75</v>
      </c>
      <c r="B79" s="3">
        <v>44380</v>
      </c>
      <c r="C79" s="4">
        <v>0.50857638888888901</v>
      </c>
      <c r="D79" s="5">
        <v>-7.84</v>
      </c>
      <c r="E79" s="5">
        <v>107.04</v>
      </c>
      <c r="F79" s="6">
        <v>16</v>
      </c>
      <c r="G79" s="7">
        <v>2.7</v>
      </c>
    </row>
    <row r="80" spans="1:63">
      <c r="A80" s="8">
        <v>76</v>
      </c>
      <c r="B80" s="3">
        <v>44384</v>
      </c>
      <c r="C80" s="4">
        <v>0.75656250000000003</v>
      </c>
      <c r="D80" s="5">
        <v>-7.28</v>
      </c>
      <c r="E80" s="5">
        <v>107.519999999999</v>
      </c>
      <c r="F80" s="6">
        <v>32</v>
      </c>
      <c r="G80" s="7">
        <v>2.2000000000000002</v>
      </c>
    </row>
    <row r="81" spans="1:7">
      <c r="A81" s="8">
        <v>77</v>
      </c>
      <c r="B81" s="3">
        <v>44386</v>
      </c>
      <c r="C81" s="4">
        <v>0.10212962962963</v>
      </c>
      <c r="D81" s="5">
        <v>-7.54</v>
      </c>
      <c r="E81" s="5">
        <v>106.689999999999</v>
      </c>
      <c r="F81" s="6">
        <v>29</v>
      </c>
      <c r="G81" s="7">
        <v>3.9</v>
      </c>
    </row>
    <row r="82" spans="1:7">
      <c r="A82" s="8">
        <v>78</v>
      </c>
      <c r="B82" s="3">
        <v>44386</v>
      </c>
      <c r="C82" s="4">
        <v>0.17186342592592599</v>
      </c>
      <c r="D82" s="5">
        <v>-5.97</v>
      </c>
      <c r="E82" s="5">
        <v>107.23</v>
      </c>
      <c r="F82" s="6">
        <v>324</v>
      </c>
      <c r="G82" s="7">
        <v>3.7</v>
      </c>
    </row>
    <row r="83" spans="1:7">
      <c r="A83" s="8">
        <v>79</v>
      </c>
      <c r="B83" s="3">
        <v>44388</v>
      </c>
      <c r="C83" s="4">
        <v>6.2789351851851805E-2</v>
      </c>
      <c r="D83" s="5">
        <v>-7.51</v>
      </c>
      <c r="E83" s="5">
        <v>106.769999999999</v>
      </c>
      <c r="F83" s="6">
        <v>31</v>
      </c>
      <c r="G83" s="7">
        <v>3.4</v>
      </c>
    </row>
    <row r="84" spans="1:7">
      <c r="A84" s="8">
        <v>80</v>
      </c>
      <c r="B84" s="3">
        <v>44389</v>
      </c>
      <c r="C84" s="4">
        <v>0.96932870370370405</v>
      </c>
      <c r="D84" s="5">
        <v>-7.17</v>
      </c>
      <c r="E84" s="5">
        <v>107.01</v>
      </c>
      <c r="F84" s="6">
        <v>10</v>
      </c>
      <c r="G84" s="7">
        <v>2.9</v>
      </c>
    </row>
    <row r="85" spans="1:7">
      <c r="A85" s="8">
        <v>81</v>
      </c>
      <c r="B85" s="3">
        <v>44390</v>
      </c>
      <c r="C85" s="4">
        <v>0.841631944444444</v>
      </c>
      <c r="D85" s="5">
        <v>-7.25</v>
      </c>
      <c r="E85" s="5">
        <v>108.62</v>
      </c>
      <c r="F85" s="6">
        <v>187</v>
      </c>
      <c r="G85" s="7">
        <v>3.9</v>
      </c>
    </row>
    <row r="86" spans="1:7">
      <c r="A86" s="8">
        <v>82</v>
      </c>
      <c r="B86" s="3">
        <v>44391</v>
      </c>
      <c r="C86" s="4">
        <v>0.36813657407407402</v>
      </c>
      <c r="D86" s="5">
        <v>-7.61</v>
      </c>
      <c r="E86" s="5">
        <v>107.719999999999</v>
      </c>
      <c r="F86" s="6">
        <v>10</v>
      </c>
      <c r="G86" s="7">
        <v>2.9</v>
      </c>
    </row>
    <row r="87" spans="1:7">
      <c r="A87" s="8">
        <v>83</v>
      </c>
      <c r="B87" s="3">
        <v>44395</v>
      </c>
      <c r="C87" s="4">
        <v>0.51232638888888904</v>
      </c>
      <c r="D87" s="5">
        <v>-6.63</v>
      </c>
      <c r="E87" s="5">
        <v>107.739999999999</v>
      </c>
      <c r="F87" s="6">
        <v>265</v>
      </c>
      <c r="G87" s="7">
        <v>2.9</v>
      </c>
    </row>
    <row r="88" spans="1:7">
      <c r="A88" s="8">
        <v>84</v>
      </c>
      <c r="B88" s="3">
        <v>44399</v>
      </c>
      <c r="C88" s="4">
        <v>0.932997685185185</v>
      </c>
      <c r="D88" s="5">
        <v>-7.79</v>
      </c>
      <c r="E88" s="5">
        <v>107.31</v>
      </c>
      <c r="F88" s="6">
        <v>28</v>
      </c>
      <c r="G88" s="7">
        <v>3.9</v>
      </c>
    </row>
    <row r="89" spans="1:7">
      <c r="A89" s="8">
        <v>85</v>
      </c>
      <c r="B89" s="3">
        <v>44407</v>
      </c>
      <c r="C89" s="4">
        <v>0.34591435185185199</v>
      </c>
      <c r="D89" s="5">
        <v>-6.83</v>
      </c>
      <c r="E89" s="5">
        <v>106.659999999999</v>
      </c>
      <c r="F89" s="6">
        <v>101</v>
      </c>
      <c r="G89" s="7">
        <v>3.3</v>
      </c>
    </row>
    <row r="90" spans="1:7">
      <c r="A90" s="8">
        <v>86</v>
      </c>
      <c r="B90" s="3">
        <v>44407</v>
      </c>
      <c r="C90" s="4">
        <v>0.70513888888888898</v>
      </c>
      <c r="D90" s="5">
        <v>-7.62</v>
      </c>
      <c r="E90" s="5">
        <v>106.93</v>
      </c>
      <c r="F90" s="6">
        <v>49</v>
      </c>
      <c r="G90" s="7">
        <v>3.4</v>
      </c>
    </row>
    <row r="91" spans="1:7">
      <c r="A91" s="8">
        <v>87</v>
      </c>
      <c r="B91" s="3">
        <v>44410</v>
      </c>
      <c r="C91" s="4">
        <v>0.76648148148148199</v>
      </c>
      <c r="D91" s="5">
        <v>-7.6</v>
      </c>
      <c r="E91" s="5">
        <v>108.439999999999</v>
      </c>
      <c r="F91" s="6">
        <v>89</v>
      </c>
      <c r="G91" s="7">
        <v>3.5</v>
      </c>
    </row>
    <row r="92" spans="1:7">
      <c r="A92" s="8">
        <v>88</v>
      </c>
      <c r="B92" s="3">
        <v>44411</v>
      </c>
      <c r="C92" s="4">
        <v>0.92539351851851803</v>
      </c>
      <c r="D92" s="5">
        <v>-6.42</v>
      </c>
      <c r="E92" s="5">
        <v>107.209999999999</v>
      </c>
      <c r="F92" s="6">
        <v>299</v>
      </c>
      <c r="G92" s="7">
        <v>2.9</v>
      </c>
    </row>
    <row r="93" spans="1:7">
      <c r="A93" s="8">
        <v>89</v>
      </c>
      <c r="B93" s="3">
        <v>44413</v>
      </c>
      <c r="C93" s="4">
        <v>0.78704861111111102</v>
      </c>
      <c r="D93" s="5">
        <v>-7.7</v>
      </c>
      <c r="E93" s="5">
        <v>106.53</v>
      </c>
      <c r="F93" s="6">
        <v>19</v>
      </c>
      <c r="G93" s="7">
        <v>4.2</v>
      </c>
    </row>
    <row r="94" spans="1:7">
      <c r="A94" s="8">
        <v>90</v>
      </c>
      <c r="B94" s="3">
        <v>44415</v>
      </c>
      <c r="C94" s="4">
        <v>0.63865740740740695</v>
      </c>
      <c r="D94" s="5">
        <v>-7.19</v>
      </c>
      <c r="E94" s="5">
        <v>108.43</v>
      </c>
      <c r="F94" s="6">
        <v>11</v>
      </c>
      <c r="G94" s="7">
        <v>2.5</v>
      </c>
    </row>
    <row r="95" spans="1:7">
      <c r="A95" s="8">
        <v>91</v>
      </c>
      <c r="B95" s="3">
        <v>44415</v>
      </c>
      <c r="C95" s="4">
        <v>0.81613425925925898</v>
      </c>
      <c r="D95" s="5">
        <v>-7.26</v>
      </c>
      <c r="E95" s="5">
        <v>107.579999999999</v>
      </c>
      <c r="F95" s="6">
        <v>10</v>
      </c>
      <c r="G95" s="7">
        <v>2.6</v>
      </c>
    </row>
    <row r="96" spans="1:7">
      <c r="A96" s="8">
        <v>92</v>
      </c>
      <c r="B96" s="3">
        <v>44416</v>
      </c>
      <c r="C96" s="4">
        <v>0.82013888888888897</v>
      </c>
      <c r="D96" s="5">
        <v>-7.77</v>
      </c>
      <c r="E96" s="5">
        <v>106.93</v>
      </c>
      <c r="F96" s="6">
        <v>21</v>
      </c>
      <c r="G96" s="7">
        <v>3.1</v>
      </c>
    </row>
    <row r="97" spans="1:7">
      <c r="A97" s="8">
        <v>93</v>
      </c>
      <c r="B97" s="3">
        <v>44425</v>
      </c>
      <c r="C97" s="4">
        <v>0.15303240740740701</v>
      </c>
      <c r="D97" s="5">
        <v>-7.08</v>
      </c>
      <c r="E97" s="5">
        <v>106.989999999999</v>
      </c>
      <c r="F97" s="6">
        <v>161</v>
      </c>
      <c r="G97" s="7">
        <v>3.4</v>
      </c>
    </row>
    <row r="98" spans="1:7">
      <c r="A98" s="8">
        <v>94</v>
      </c>
      <c r="B98" s="3">
        <v>44427</v>
      </c>
      <c r="C98" s="4">
        <v>0.59127314814814802</v>
      </c>
      <c r="D98" s="5">
        <v>-7.18</v>
      </c>
      <c r="E98" s="5">
        <v>107.219999999999</v>
      </c>
      <c r="F98" s="6">
        <v>10</v>
      </c>
      <c r="G98" s="7">
        <v>3.2</v>
      </c>
    </row>
    <row r="99" spans="1:7">
      <c r="A99" s="8">
        <v>95</v>
      </c>
      <c r="B99" s="3">
        <v>44427</v>
      </c>
      <c r="C99" s="4">
        <v>0.83865740740740735</v>
      </c>
      <c r="D99" s="5">
        <v>-7.3959999999999999</v>
      </c>
      <c r="E99" s="5">
        <v>106.803</v>
      </c>
      <c r="F99" s="6">
        <v>119</v>
      </c>
      <c r="G99" s="7">
        <v>4.0999999999999996</v>
      </c>
    </row>
    <row r="100" spans="1:7">
      <c r="A100" s="8">
        <v>96</v>
      </c>
      <c r="B100" s="3">
        <v>44428</v>
      </c>
      <c r="C100" s="4">
        <v>0.39432870370370399</v>
      </c>
      <c r="D100" s="5">
        <v>-7.54</v>
      </c>
      <c r="E100" s="5">
        <v>106.92</v>
      </c>
      <c r="F100" s="6">
        <v>96</v>
      </c>
      <c r="G100" s="7">
        <v>2.9</v>
      </c>
    </row>
    <row r="101" spans="1:7">
      <c r="A101" s="8">
        <v>97</v>
      </c>
      <c r="B101" s="3">
        <v>44435</v>
      </c>
      <c r="C101" s="4">
        <v>0.95604166666666701</v>
      </c>
      <c r="D101" s="5">
        <v>-7.53</v>
      </c>
      <c r="E101" s="5">
        <v>106.7</v>
      </c>
      <c r="F101" s="6">
        <v>27</v>
      </c>
      <c r="G101" s="7">
        <v>4.4000000000000004</v>
      </c>
    </row>
    <row r="102" spans="1:7">
      <c r="A102" s="8">
        <v>98</v>
      </c>
      <c r="B102" s="3">
        <v>44437</v>
      </c>
      <c r="C102" s="4">
        <v>0.50940972222222203</v>
      </c>
      <c r="D102" s="5">
        <v>-6.55</v>
      </c>
      <c r="E102" s="5">
        <v>108.04</v>
      </c>
      <c r="F102" s="6">
        <v>297</v>
      </c>
      <c r="G102" s="7">
        <v>3.3</v>
      </c>
    </row>
    <row r="103" spans="1:7">
      <c r="A103" s="8">
        <v>99</v>
      </c>
      <c r="B103" s="3">
        <v>44437</v>
      </c>
      <c r="C103" s="4">
        <v>0.12115740740740701</v>
      </c>
      <c r="D103" s="5">
        <v>-6.61</v>
      </c>
      <c r="E103" s="5">
        <v>107</v>
      </c>
      <c r="F103" s="6">
        <v>155</v>
      </c>
      <c r="G103" s="7">
        <v>3</v>
      </c>
    </row>
    <row r="104" spans="1:7">
      <c r="A104" s="8">
        <v>100</v>
      </c>
      <c r="B104" s="3">
        <v>44439</v>
      </c>
      <c r="C104" s="4">
        <v>2.3425925925925899E-2</v>
      </c>
      <c r="D104" s="5">
        <v>-7.68</v>
      </c>
      <c r="E104" s="5">
        <v>108.4</v>
      </c>
      <c r="F104" s="6">
        <v>96</v>
      </c>
      <c r="G104" s="7">
        <v>3.8</v>
      </c>
    </row>
    <row r="105" spans="1:7">
      <c r="A105" s="8">
        <v>101</v>
      </c>
      <c r="B105" s="3">
        <v>44449</v>
      </c>
      <c r="C105" s="4">
        <v>0.763506944444444</v>
      </c>
      <c r="D105" s="5">
        <v>-7.07</v>
      </c>
      <c r="E105" s="5">
        <v>108.079999999999</v>
      </c>
      <c r="F105" s="6">
        <v>166</v>
      </c>
      <c r="G105" s="7">
        <v>3.9</v>
      </c>
    </row>
    <row r="106" spans="1:7">
      <c r="A106" s="8">
        <v>102</v>
      </c>
      <c r="B106" s="3">
        <v>44454</v>
      </c>
      <c r="C106" s="4">
        <v>0.46462962962963</v>
      </c>
      <c r="D106" s="5">
        <v>-6.44</v>
      </c>
      <c r="E106" s="5">
        <v>108.01</v>
      </c>
      <c r="F106" s="6">
        <v>295</v>
      </c>
      <c r="G106" s="7">
        <v>4.5999999999999996</v>
      </c>
    </row>
    <row r="107" spans="1:7">
      <c r="A107" s="8">
        <v>103</v>
      </c>
      <c r="B107" s="3">
        <v>44457</v>
      </c>
      <c r="C107" s="4">
        <v>0.71606481481481499</v>
      </c>
      <c r="D107" s="5">
        <v>-7.18</v>
      </c>
      <c r="E107" s="5">
        <v>107.599999999999</v>
      </c>
      <c r="F107" s="6">
        <v>10</v>
      </c>
      <c r="G107" s="7">
        <v>2.5</v>
      </c>
    </row>
    <row r="108" spans="1:7">
      <c r="A108" s="8">
        <v>104</v>
      </c>
      <c r="B108" s="3">
        <v>44457</v>
      </c>
      <c r="C108" s="4">
        <v>0.98528935185185185</v>
      </c>
      <c r="D108" s="5">
        <v>-7.3979999999999997</v>
      </c>
      <c r="E108" s="5">
        <v>106.63800000000001</v>
      </c>
      <c r="F108" s="6">
        <v>68</v>
      </c>
      <c r="G108" s="7">
        <v>4.5999999999999996</v>
      </c>
    </row>
    <row r="109" spans="1:7">
      <c r="A109" s="8">
        <v>105</v>
      </c>
      <c r="B109" s="3">
        <v>44459</v>
      </c>
      <c r="C109" s="4">
        <v>0.72241898148148198</v>
      </c>
      <c r="D109" s="5">
        <v>-7.2</v>
      </c>
      <c r="E109" s="5">
        <v>107.59</v>
      </c>
      <c r="F109" s="6">
        <v>13</v>
      </c>
      <c r="G109" s="7">
        <v>2.5</v>
      </c>
    </row>
    <row r="110" spans="1:7">
      <c r="A110" s="8">
        <v>106</v>
      </c>
      <c r="B110" s="3">
        <v>44461</v>
      </c>
      <c r="C110" s="4">
        <v>0.12737268518518499</v>
      </c>
      <c r="D110" s="5">
        <v>-7.79</v>
      </c>
      <c r="E110" s="5">
        <v>107.26</v>
      </c>
      <c r="F110" s="6">
        <v>28</v>
      </c>
      <c r="G110" s="7">
        <v>2.9</v>
      </c>
    </row>
    <row r="111" spans="1:7">
      <c r="A111" s="8">
        <v>107</v>
      </c>
      <c r="B111" s="3">
        <v>44471</v>
      </c>
      <c r="C111" s="4">
        <v>0.60241898148148099</v>
      </c>
      <c r="D111" s="5">
        <v>-7.21</v>
      </c>
      <c r="E111" s="5">
        <v>106.689999999999</v>
      </c>
      <c r="F111" s="6">
        <v>99</v>
      </c>
      <c r="G111" s="7">
        <v>2.8</v>
      </c>
    </row>
    <row r="112" spans="1:7">
      <c r="A112" s="8">
        <v>108</v>
      </c>
      <c r="B112" s="3">
        <v>44472</v>
      </c>
      <c r="C112" s="4">
        <v>0.39021990740740697</v>
      </c>
      <c r="D112" s="5">
        <v>-7.81</v>
      </c>
      <c r="E112" s="5">
        <v>106.599999999999</v>
      </c>
      <c r="F112" s="6">
        <v>10</v>
      </c>
      <c r="G112" s="7">
        <v>3.7</v>
      </c>
    </row>
    <row r="113" spans="1:7">
      <c r="A113" s="8">
        <v>109</v>
      </c>
      <c r="B113" s="3">
        <v>44475</v>
      </c>
      <c r="C113" s="4">
        <v>0.81868055555555597</v>
      </c>
      <c r="D113" s="5">
        <v>-6.53</v>
      </c>
      <c r="E113" s="5">
        <v>107.379999999999</v>
      </c>
      <c r="F113" s="6">
        <v>10</v>
      </c>
      <c r="G113" s="7">
        <v>3.2</v>
      </c>
    </row>
    <row r="114" spans="1:7">
      <c r="A114" s="8">
        <v>110</v>
      </c>
      <c r="B114" s="3">
        <v>44476</v>
      </c>
      <c r="C114" s="4">
        <v>0.87008101851851805</v>
      </c>
      <c r="D114" s="5">
        <v>-7.33</v>
      </c>
      <c r="E114" s="5">
        <v>106.909999999999</v>
      </c>
      <c r="F114" s="6">
        <v>110</v>
      </c>
      <c r="G114" s="7">
        <v>2.7</v>
      </c>
    </row>
    <row r="115" spans="1:7">
      <c r="A115" s="8">
        <v>111</v>
      </c>
      <c r="B115" s="3">
        <v>44477</v>
      </c>
      <c r="C115" s="4">
        <v>0.62260416666666696</v>
      </c>
      <c r="D115" s="5">
        <v>-7.6</v>
      </c>
      <c r="E115" s="5">
        <v>106.56</v>
      </c>
      <c r="F115" s="6">
        <v>27</v>
      </c>
      <c r="G115" s="7">
        <v>4.5999999999999996</v>
      </c>
    </row>
    <row r="116" spans="1:7">
      <c r="A116" s="8">
        <v>112</v>
      </c>
      <c r="B116" s="3">
        <v>44478</v>
      </c>
      <c r="C116" s="4">
        <v>0.397824074074074</v>
      </c>
      <c r="D116" s="5">
        <v>-7.6</v>
      </c>
      <c r="E116" s="5">
        <v>107.34</v>
      </c>
      <c r="F116" s="6">
        <v>62</v>
      </c>
      <c r="G116" s="7">
        <v>3.1</v>
      </c>
    </row>
    <row r="117" spans="1:7">
      <c r="A117" s="8">
        <v>113</v>
      </c>
      <c r="B117" s="3">
        <v>44480</v>
      </c>
      <c r="C117" s="4">
        <v>4.7453703703703703E-3</v>
      </c>
      <c r="D117" s="5">
        <v>-7.6</v>
      </c>
      <c r="E117" s="5">
        <v>107.969999999999</v>
      </c>
      <c r="F117" s="6">
        <v>10</v>
      </c>
      <c r="G117" s="7">
        <v>3.4</v>
      </c>
    </row>
    <row r="118" spans="1:7">
      <c r="A118" s="8">
        <v>114</v>
      </c>
      <c r="B118" s="3">
        <v>44480</v>
      </c>
      <c r="C118" s="4">
        <v>0.34586805555555555</v>
      </c>
      <c r="D118" s="5">
        <v>-6.7990000000000004</v>
      </c>
      <c r="E118" s="5">
        <v>106.504</v>
      </c>
      <c r="F118" s="6">
        <v>106</v>
      </c>
      <c r="G118" s="7">
        <v>4.0999999999999996</v>
      </c>
    </row>
    <row r="119" spans="1:7">
      <c r="A119" s="8">
        <v>115</v>
      </c>
      <c r="B119" s="3">
        <v>44480</v>
      </c>
      <c r="C119" s="4">
        <v>0.72412037037037003</v>
      </c>
      <c r="D119" s="5">
        <v>-7.05</v>
      </c>
      <c r="E119" s="5">
        <v>106.79</v>
      </c>
      <c r="F119" s="6">
        <v>10</v>
      </c>
      <c r="G119" s="7">
        <v>2.4</v>
      </c>
    </row>
    <row r="120" spans="1:7">
      <c r="A120" s="8">
        <v>116</v>
      </c>
      <c r="B120" s="3">
        <v>44480</v>
      </c>
      <c r="C120" s="4">
        <v>0.83675925925925898</v>
      </c>
      <c r="D120" s="5">
        <v>-7.65</v>
      </c>
      <c r="E120" s="5">
        <v>106.53</v>
      </c>
      <c r="F120" s="6">
        <v>43</v>
      </c>
      <c r="G120" s="7">
        <v>4.4000000000000004</v>
      </c>
    </row>
    <row r="121" spans="1:7">
      <c r="A121" s="8">
        <v>117</v>
      </c>
      <c r="B121" s="3">
        <v>44483</v>
      </c>
      <c r="C121" s="4">
        <v>0.90797453703703701</v>
      </c>
      <c r="D121" s="5">
        <v>-6.9</v>
      </c>
      <c r="E121" s="5">
        <v>106.609999999999</v>
      </c>
      <c r="F121" s="6">
        <v>140</v>
      </c>
      <c r="G121" s="7">
        <v>2.2999999999999998</v>
      </c>
    </row>
    <row r="122" spans="1:7">
      <c r="A122" s="8">
        <v>118</v>
      </c>
      <c r="B122" s="3">
        <v>44484</v>
      </c>
      <c r="C122" s="4">
        <v>0.63789351851851805</v>
      </c>
      <c r="D122" s="5">
        <v>-7.7</v>
      </c>
      <c r="E122" s="5">
        <v>106.969999999999</v>
      </c>
      <c r="F122" s="6">
        <v>28</v>
      </c>
      <c r="G122" s="7">
        <v>2.6</v>
      </c>
    </row>
    <row r="123" spans="1:7">
      <c r="A123" s="8">
        <v>119</v>
      </c>
      <c r="B123" s="3">
        <v>44488</v>
      </c>
      <c r="C123" s="4">
        <v>0.164907407407407</v>
      </c>
      <c r="D123" s="5">
        <v>-6.45</v>
      </c>
      <c r="E123" s="5">
        <v>107.29</v>
      </c>
      <c r="F123" s="6">
        <v>10</v>
      </c>
      <c r="G123" s="7">
        <v>2.8</v>
      </c>
    </row>
    <row r="124" spans="1:7">
      <c r="A124" s="8">
        <v>120</v>
      </c>
      <c r="B124" s="3">
        <v>44489</v>
      </c>
      <c r="C124" s="4">
        <v>0.88500000000000001</v>
      </c>
      <c r="D124" s="5">
        <v>-7.87</v>
      </c>
      <c r="E124" s="5">
        <v>107.019999999999</v>
      </c>
      <c r="F124" s="6">
        <v>11</v>
      </c>
      <c r="G124" s="7">
        <v>2.8</v>
      </c>
    </row>
    <row r="125" spans="1:7">
      <c r="A125" s="8">
        <v>121</v>
      </c>
      <c r="B125" s="3">
        <v>44490</v>
      </c>
      <c r="C125" s="4">
        <v>0.434270833333333</v>
      </c>
      <c r="D125" s="5">
        <v>-7.75</v>
      </c>
      <c r="E125" s="5">
        <v>106.569999999999</v>
      </c>
      <c r="F125" s="6">
        <v>20</v>
      </c>
      <c r="G125" s="7">
        <v>3.8</v>
      </c>
    </row>
    <row r="126" spans="1:7">
      <c r="A126" s="8">
        <v>122</v>
      </c>
      <c r="B126" s="3">
        <v>44490</v>
      </c>
      <c r="C126" s="4">
        <v>0.90802083333333306</v>
      </c>
      <c r="D126" s="5">
        <v>-6.64</v>
      </c>
      <c r="E126" s="5">
        <v>107.799999999999</v>
      </c>
      <c r="F126" s="6">
        <v>10</v>
      </c>
      <c r="G126" s="7">
        <v>3.3</v>
      </c>
    </row>
    <row r="127" spans="1:7">
      <c r="A127" s="8">
        <v>123</v>
      </c>
      <c r="B127" s="3">
        <v>44490</v>
      </c>
      <c r="C127" s="4">
        <v>0.36204861111111097</v>
      </c>
      <c r="D127" s="5">
        <v>-7.3</v>
      </c>
      <c r="E127" s="5">
        <v>107.68</v>
      </c>
      <c r="F127" s="6">
        <v>10</v>
      </c>
      <c r="G127" s="7">
        <v>3</v>
      </c>
    </row>
    <row r="128" spans="1:7">
      <c r="A128" s="8">
        <v>124</v>
      </c>
      <c r="B128" s="3">
        <v>44491</v>
      </c>
      <c r="C128" s="4">
        <v>0.33100694444444401</v>
      </c>
      <c r="D128" s="5">
        <v>-7.49</v>
      </c>
      <c r="E128" s="5">
        <v>107.379999999999</v>
      </c>
      <c r="F128" s="6">
        <v>10</v>
      </c>
      <c r="G128" s="7">
        <v>2.9</v>
      </c>
    </row>
    <row r="129" spans="1:7">
      <c r="A129" s="8">
        <v>125</v>
      </c>
      <c r="B129" s="3">
        <v>44493</v>
      </c>
      <c r="C129" s="4">
        <v>1.6064814814814799E-2</v>
      </c>
      <c r="D129" s="5">
        <v>-7.73</v>
      </c>
      <c r="E129" s="5">
        <v>107.359999999999</v>
      </c>
      <c r="F129" s="6">
        <v>17</v>
      </c>
      <c r="G129" s="7">
        <v>3.5</v>
      </c>
    </row>
    <row r="130" spans="1:7">
      <c r="A130" s="8">
        <v>126</v>
      </c>
      <c r="B130" s="3">
        <v>44496</v>
      </c>
      <c r="C130" s="4">
        <v>0.753576388888889</v>
      </c>
      <c r="D130" s="5">
        <v>-7.07</v>
      </c>
      <c r="E130" s="5">
        <v>107.409999999999</v>
      </c>
      <c r="F130" s="6">
        <v>5</v>
      </c>
      <c r="G130" s="7">
        <v>2.6</v>
      </c>
    </row>
    <row r="131" spans="1:7">
      <c r="A131" s="8">
        <v>127</v>
      </c>
      <c r="B131" s="3">
        <v>44498</v>
      </c>
      <c r="C131" s="4">
        <v>0.71152777777777798</v>
      </c>
      <c r="D131" s="5">
        <v>-7.55</v>
      </c>
      <c r="E131" s="5">
        <v>107.37</v>
      </c>
      <c r="F131" s="6">
        <v>10</v>
      </c>
      <c r="G131" s="7">
        <v>3.1</v>
      </c>
    </row>
    <row r="132" spans="1:7">
      <c r="A132" s="8">
        <v>128</v>
      </c>
      <c r="B132" s="3">
        <v>44501</v>
      </c>
      <c r="C132" s="4">
        <v>0.112361111111111</v>
      </c>
      <c r="D132" s="5">
        <v>-7.8</v>
      </c>
      <c r="E132" s="5">
        <v>106.93</v>
      </c>
      <c r="F132" s="6">
        <v>10</v>
      </c>
      <c r="G132" s="7">
        <v>3.8</v>
      </c>
    </row>
    <row r="133" spans="1:7">
      <c r="A133" s="8">
        <v>129</v>
      </c>
      <c r="B133" s="3">
        <v>44506</v>
      </c>
      <c r="C133" s="4">
        <v>0.30990740740740702</v>
      </c>
      <c r="D133" s="5">
        <v>-7.46</v>
      </c>
      <c r="E133" s="5">
        <v>107.51</v>
      </c>
      <c r="F133" s="6">
        <v>47</v>
      </c>
      <c r="G133" s="7">
        <v>2.6</v>
      </c>
    </row>
    <row r="134" spans="1:7">
      <c r="A134" s="8">
        <v>130</v>
      </c>
      <c r="B134" s="3">
        <v>44510</v>
      </c>
      <c r="C134" s="4">
        <v>0.112222222222222</v>
      </c>
      <c r="D134" s="5">
        <v>-6.99</v>
      </c>
      <c r="E134" s="5">
        <v>107.09</v>
      </c>
      <c r="F134" s="6">
        <v>17</v>
      </c>
      <c r="G134" s="7">
        <v>2.2000000000000002</v>
      </c>
    </row>
    <row r="135" spans="1:7">
      <c r="A135" s="8">
        <v>131</v>
      </c>
      <c r="B135" s="3">
        <v>44511</v>
      </c>
      <c r="C135" s="4">
        <v>0.76348379629629637</v>
      </c>
      <c r="D135" s="5">
        <v>-6.6029999999999998</v>
      </c>
      <c r="E135" s="5">
        <v>108.105</v>
      </c>
      <c r="F135" s="6">
        <v>164</v>
      </c>
      <c r="G135" s="7">
        <v>4.2</v>
      </c>
    </row>
    <row r="136" spans="1:7">
      <c r="A136" s="8">
        <v>132</v>
      </c>
      <c r="B136" s="3">
        <v>44511</v>
      </c>
      <c r="C136" s="4">
        <v>0.93212962962962997</v>
      </c>
      <c r="D136" s="5">
        <v>-7.73</v>
      </c>
      <c r="E136" s="5">
        <v>106.879999999999</v>
      </c>
      <c r="F136" s="6">
        <v>30</v>
      </c>
      <c r="G136" s="7">
        <v>4.0999999999999996</v>
      </c>
    </row>
    <row r="137" spans="1:7">
      <c r="A137" s="8">
        <v>133</v>
      </c>
      <c r="B137" s="3">
        <v>44515</v>
      </c>
      <c r="C137" s="4">
        <v>0.358101851851852</v>
      </c>
      <c r="D137" s="5">
        <v>-7.84</v>
      </c>
      <c r="E137" s="5">
        <v>107.25</v>
      </c>
      <c r="F137" s="6">
        <v>25</v>
      </c>
      <c r="G137" s="7">
        <v>3.1</v>
      </c>
    </row>
    <row r="138" spans="1:7">
      <c r="A138" s="8">
        <v>134</v>
      </c>
      <c r="B138" s="3">
        <v>44517</v>
      </c>
      <c r="C138" s="4">
        <v>0.94371527777777797</v>
      </c>
      <c r="D138" s="5">
        <v>-7.86</v>
      </c>
      <c r="E138" s="5">
        <v>107.239999999999</v>
      </c>
      <c r="F138" s="6">
        <v>20</v>
      </c>
      <c r="G138" s="7">
        <v>3.3</v>
      </c>
    </row>
    <row r="139" spans="1:7">
      <c r="A139" s="8">
        <v>135</v>
      </c>
      <c r="B139" s="3">
        <v>44517</v>
      </c>
      <c r="C139" s="4">
        <v>3.89930555555556E-2</v>
      </c>
      <c r="D139" s="5">
        <v>-6.51</v>
      </c>
      <c r="E139" s="5">
        <v>107.26</v>
      </c>
      <c r="F139" s="6">
        <v>10</v>
      </c>
      <c r="G139" s="7">
        <v>2.9</v>
      </c>
    </row>
    <row r="140" spans="1:7">
      <c r="A140" s="8">
        <v>136</v>
      </c>
      <c r="B140" s="3">
        <v>44520</v>
      </c>
      <c r="C140" s="4">
        <v>0.56164351851851901</v>
      </c>
      <c r="D140" s="5">
        <v>-7.23</v>
      </c>
      <c r="E140" s="5">
        <v>107.7</v>
      </c>
      <c r="F140" s="6">
        <v>10</v>
      </c>
      <c r="G140" s="7">
        <v>2.4</v>
      </c>
    </row>
    <row r="141" spans="1:7">
      <c r="A141" s="8">
        <v>137</v>
      </c>
      <c r="B141" s="3">
        <v>44521</v>
      </c>
      <c r="C141" s="4">
        <v>0.52388888888888896</v>
      </c>
      <c r="D141" s="5">
        <v>-7.75</v>
      </c>
      <c r="E141" s="5">
        <v>107.28</v>
      </c>
      <c r="F141" s="6">
        <v>34</v>
      </c>
      <c r="G141" s="7">
        <v>3.2</v>
      </c>
    </row>
    <row r="142" spans="1:7">
      <c r="A142" s="8">
        <v>138</v>
      </c>
      <c r="B142" s="3">
        <v>44524</v>
      </c>
      <c r="C142" s="4">
        <v>0.39142361111111101</v>
      </c>
      <c r="D142" s="5">
        <v>-7.75</v>
      </c>
      <c r="E142" s="5">
        <v>106.909999999999</v>
      </c>
      <c r="F142" s="6">
        <v>58</v>
      </c>
      <c r="G142" s="7">
        <v>5</v>
      </c>
    </row>
    <row r="143" spans="1:7">
      <c r="A143" s="8">
        <v>139</v>
      </c>
      <c r="B143" s="3">
        <v>44529</v>
      </c>
      <c r="C143" s="4">
        <v>0.71789351851851801</v>
      </c>
      <c r="D143" s="5">
        <v>-7.74</v>
      </c>
      <c r="E143" s="5">
        <v>107.269999999999</v>
      </c>
      <c r="F143" s="6">
        <v>32</v>
      </c>
      <c r="G143" s="7">
        <v>2.5</v>
      </c>
    </row>
  </sheetData>
  <mergeCells count="32">
    <mergeCell ref="BJ1:BJ2"/>
    <mergeCell ref="BO1:BP2"/>
    <mergeCell ref="BN4:BN6"/>
    <mergeCell ref="AY16:AZ16"/>
    <mergeCell ref="AR21:AT22"/>
    <mergeCell ref="AU1:AV2"/>
    <mergeCell ref="AU21:AV22"/>
    <mergeCell ref="BD1:BF2"/>
    <mergeCell ref="BH1:BI2"/>
    <mergeCell ref="AY20:AZ20"/>
    <mergeCell ref="BN1:BN2"/>
    <mergeCell ref="BK1:BK2"/>
    <mergeCell ref="J33:K33"/>
    <mergeCell ref="AR38:AT39"/>
    <mergeCell ref="AU38:AW39"/>
    <mergeCell ref="A2:G2"/>
    <mergeCell ref="A3:A4"/>
    <mergeCell ref="B3:B4"/>
    <mergeCell ref="C3:C4"/>
    <mergeCell ref="D3:D4"/>
    <mergeCell ref="E3:E4"/>
    <mergeCell ref="F3:F4"/>
    <mergeCell ref="G3:G4"/>
    <mergeCell ref="K19:M19"/>
    <mergeCell ref="J18:N18"/>
    <mergeCell ref="AG3:AH3"/>
    <mergeCell ref="AR1:AT2"/>
    <mergeCell ref="BH23:BI23"/>
    <mergeCell ref="BH40:BI40"/>
    <mergeCell ref="AR55:AT56"/>
    <mergeCell ref="AU55:AW56"/>
    <mergeCell ref="BH57:BI57"/>
  </mergeCells>
  <pageMargins left="0.7" right="0.7" top="0.75" bottom="0.75" header="0.3" footer="0.3"/>
  <pageSetup orientation="portrait" r:id="rId1"/>
  <ignoredErrors>
    <ignoredError sqref="AD4:AD13 N1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Olah Semivariogram</vt:lpstr>
      <vt:lpstr>Kriging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Irving</dc:creator>
  <cp:lastModifiedBy>Bryan Silaban</cp:lastModifiedBy>
  <dcterms:created xsi:type="dcterms:W3CDTF">2023-11-15T09:46:00Z</dcterms:created>
  <dcterms:modified xsi:type="dcterms:W3CDTF">2024-04-01T11:16:47Z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F90C02D1A02E4A389DC408A9A9CD53A2_12</vt:lpwstr>
  </property>
  <property fmtid="{D5CDD505-2E9C-101B-9397-08002B2CF9AE}" pid="3" name="KSOProductBuildVer">
    <vt:lpwstr>1033-12.2.0.13306</vt:lpwstr>
  </property>
</Properties>
</file>